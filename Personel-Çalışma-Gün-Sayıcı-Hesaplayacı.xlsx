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EEF68FDE-A9DE-464D-98A2-2CE509121977}" xr6:coauthVersionLast="47" xr6:coauthVersionMax="47" xr10:uidLastSave="{00000000-0000-0000-0000-000000000000}"/>
  <bookViews>
    <workbookView xWindow="-108" yWindow="-108" windowWidth="23256" windowHeight="12456" tabRatio="808" xr2:uid="{F2FA4F7D-18CD-4944-814F-7F7C3EA9F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7" i="1"/>
</calcChain>
</file>

<file path=xl/sharedStrings.xml><?xml version="1.0" encoding="utf-8"?>
<sst xmlns="http://schemas.openxmlformats.org/spreadsheetml/2006/main" count="45" uniqueCount="39">
  <si>
    <t>Gün sayısı</t>
  </si>
  <si>
    <t>Resmi tatil ve tatil günleri olmayan gün sayısı</t>
  </si>
  <si>
    <t>Haftada üç gün çalışma durumunda iş gün sayısı</t>
  </si>
  <si>
    <t>Part-time gün sayısı</t>
  </si>
  <si>
    <t>Tarihin Sonu</t>
  </si>
  <si>
    <t>Tarihin Başlangıçı</t>
  </si>
  <si>
    <t>Memurlar</t>
  </si>
  <si>
    <t>Resmi Tatillar</t>
  </si>
  <si>
    <t>Hania</t>
  </si>
  <si>
    <t>Derya</t>
  </si>
  <si>
    <t>Seher</t>
  </si>
  <si>
    <t>Samet</t>
  </si>
  <si>
    <t>Sami</t>
  </si>
  <si>
    <t>Sayed</t>
  </si>
  <si>
    <t>Mohammed</t>
  </si>
  <si>
    <t>Rami</t>
  </si>
  <si>
    <t>Emre</t>
  </si>
  <si>
    <t>Cihad</t>
  </si>
  <si>
    <t>Batuhan</t>
  </si>
  <si>
    <t>Tuğba</t>
  </si>
  <si>
    <t>Merve</t>
  </si>
  <si>
    <t>Sevda</t>
  </si>
  <si>
    <t>Şerife</t>
  </si>
  <si>
    <t>Yamaç</t>
  </si>
  <si>
    <t>Sara</t>
  </si>
  <si>
    <t>Maaş</t>
  </si>
  <si>
    <t>900 $</t>
  </si>
  <si>
    <t>800 $</t>
  </si>
  <si>
    <t>1500 $</t>
  </si>
  <si>
    <t>2000 $</t>
  </si>
  <si>
    <t>950 $</t>
  </si>
  <si>
    <t>750 $</t>
  </si>
  <si>
    <t>2300 $</t>
  </si>
  <si>
    <t>1100 $</t>
  </si>
  <si>
    <t>1200 $</t>
  </si>
  <si>
    <t>1700 $</t>
  </si>
  <si>
    <t>850 $</t>
  </si>
  <si>
    <t>700 $</t>
  </si>
  <si>
    <t>1000 $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</si>
</sst>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4" fontId="0" fillId="0" borderId="0" xfId="0" applyNumberFormat="1"/>
    <xf numFmtId="0" fontId="3" fillId="0" borderId="0" xfId="0" applyFont="1"/>
    <xf numFmtId="2" fontId="0" fillId="0" borderId="0" xfId="0" applyNumberFormat="1"/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right" vertical="center" indent="7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E7FD-FF5E-42A3-AE9F-B8B4FC7B04D0}">
  <dimension ref="A1:N24"/>
  <sheetViews>
    <sheetView rightToLeft="1" tabSelected="1" topLeftCell="A5" zoomScale="111" zoomScaleNormal="100" workbookViewId="0">
      <selection activeCell="F10" sqref="F10:H10"/>
    </sheetView>
  </sheetViews>
  <sheetFormatPr defaultRowHeight="14.4" x14ac:dyDescent="0.3"/>
  <cols>
    <col min="1" max="2" width="10.88671875" bestFit="1" customWidth="1"/>
    <col min="4" max="4" width="9.33203125" customWidth="1"/>
    <col min="5" max="5" width="8.77734375" customWidth="1"/>
    <col min="6" max="6" width="12.33203125" customWidth="1"/>
    <col min="7" max="7" width="9.109375" customWidth="1"/>
    <col min="8" max="8" width="9.5546875" customWidth="1"/>
    <col min="9" max="9" width="18.21875" bestFit="1" customWidth="1"/>
    <col min="10" max="10" width="23" customWidth="1"/>
    <col min="11" max="11" width="25.88671875" bestFit="1" customWidth="1"/>
    <col min="12" max="12" width="11.88671875" customWidth="1"/>
    <col min="14" max="14" width="13.44140625" bestFit="1" customWidth="1"/>
    <col min="22" max="22" width="9.21875" customWidth="1"/>
  </cols>
  <sheetData>
    <row r="1" spans="1:14" ht="29.4" customHeight="1" x14ac:dyDescent="0.3"/>
    <row r="3" spans="1:14" ht="15.6" x14ac:dyDescent="0.3">
      <c r="N3" s="9"/>
    </row>
    <row r="5" spans="1:14" ht="58.2" customHeight="1" x14ac:dyDescent="0.3">
      <c r="A5" s="6" t="s">
        <v>25</v>
      </c>
      <c r="B5" s="6" t="s">
        <v>6</v>
      </c>
      <c r="C5" s="12" t="s">
        <v>5</v>
      </c>
      <c r="D5" s="12"/>
      <c r="E5" s="12"/>
      <c r="F5" s="13" t="s">
        <v>4</v>
      </c>
      <c r="G5" s="13"/>
      <c r="H5" s="13"/>
      <c r="I5" s="3" t="s">
        <v>0</v>
      </c>
      <c r="J5" s="2" t="s">
        <v>1</v>
      </c>
      <c r="K5" s="4" t="s">
        <v>2</v>
      </c>
      <c r="L5" s="5" t="s">
        <v>3</v>
      </c>
    </row>
    <row r="6" spans="1:14" ht="1.8" hidden="1" customHeight="1" x14ac:dyDescent="0.3"/>
    <row r="7" spans="1:14" ht="14.4" customHeight="1" x14ac:dyDescent="0.3">
      <c r="A7" s="9" t="s">
        <v>26</v>
      </c>
      <c r="B7" s="9" t="s">
        <v>24</v>
      </c>
      <c r="C7" s="11">
        <v>46023</v>
      </c>
      <c r="D7" s="14"/>
      <c r="E7" s="14"/>
      <c r="F7" s="11">
        <v>46052</v>
      </c>
      <c r="G7" s="11"/>
      <c r="H7" s="11"/>
      <c r="I7" s="10">
        <f>IF(C7&gt;F7,"Henüz Başlamamıştır",F7-C7)</f>
        <v>29</v>
      </c>
      <c r="J7" s="1">
        <f>IF(C7&gt;F7,0,NETWORKDAYS.INTL(C7,F7,1,N8))</f>
        <v>21</v>
      </c>
      <c r="K7">
        <f>NETWORKDAYS.INTL(C7,F7,"1000111",$N$8)</f>
        <v>12</v>
      </c>
      <c r="L7">
        <f>J7/2</f>
        <v>10.5</v>
      </c>
      <c r="N7" s="7" t="s">
        <v>7</v>
      </c>
    </row>
    <row r="8" spans="1:14" x14ac:dyDescent="0.3">
      <c r="A8" t="s">
        <v>27</v>
      </c>
      <c r="B8" t="s">
        <v>8</v>
      </c>
      <c r="C8" s="11">
        <v>46037</v>
      </c>
      <c r="D8" s="14"/>
      <c r="E8" s="14"/>
      <c r="F8" s="11">
        <v>46052</v>
      </c>
      <c r="G8" s="11"/>
      <c r="H8" s="11"/>
      <c r="I8" s="10">
        <f t="shared" ref="I8:I24" si="0">IF(C8&gt;F8,"Henüz Başlamamıştır",F8-C8)</f>
        <v>15</v>
      </c>
      <c r="J8" s="1">
        <f t="shared" ref="J8:J24" si="1">IF(C8&gt;F8,0,NETWORKDAYS.INTL(C8,F8,1,N9))</f>
        <v>12</v>
      </c>
      <c r="N8" s="8">
        <v>46023</v>
      </c>
    </row>
    <row r="9" spans="1:14" x14ac:dyDescent="0.3">
      <c r="A9" t="s">
        <v>28</v>
      </c>
      <c r="B9" t="s">
        <v>9</v>
      </c>
      <c r="C9" s="11">
        <v>46039</v>
      </c>
      <c r="D9" s="11"/>
      <c r="E9" s="11"/>
      <c r="F9" s="11">
        <v>46052</v>
      </c>
      <c r="G9" s="11"/>
      <c r="H9" s="11"/>
      <c r="I9" s="10">
        <f t="shared" si="0"/>
        <v>13</v>
      </c>
      <c r="J9" s="1">
        <f t="shared" si="1"/>
        <v>10</v>
      </c>
      <c r="N9" s="8">
        <v>46100</v>
      </c>
    </row>
    <row r="10" spans="1:14" x14ac:dyDescent="0.3">
      <c r="A10" t="s">
        <v>29</v>
      </c>
      <c r="B10" t="s">
        <v>10</v>
      </c>
      <c r="C10" s="11">
        <v>46039</v>
      </c>
      <c r="D10" s="11"/>
      <c r="E10" s="11"/>
      <c r="F10" s="11">
        <v>46052</v>
      </c>
      <c r="G10" s="11"/>
      <c r="H10" s="11"/>
      <c r="I10" s="10">
        <f t="shared" si="0"/>
        <v>13</v>
      </c>
      <c r="J10" s="1">
        <f t="shared" si="1"/>
        <v>10</v>
      </c>
      <c r="N10" s="8">
        <v>46101</v>
      </c>
    </row>
    <row r="11" spans="1:14" x14ac:dyDescent="0.3">
      <c r="A11" t="s">
        <v>30</v>
      </c>
      <c r="B11" t="s">
        <v>11</v>
      </c>
      <c r="C11" s="11">
        <v>46040</v>
      </c>
      <c r="D11" s="11"/>
      <c r="E11" s="11"/>
      <c r="F11" s="11">
        <v>46052</v>
      </c>
      <c r="G11" s="11"/>
      <c r="H11" s="11"/>
      <c r="I11" s="10">
        <f t="shared" si="0"/>
        <v>12</v>
      </c>
      <c r="J11" s="1">
        <f t="shared" si="1"/>
        <v>10</v>
      </c>
      <c r="N11" s="8">
        <v>46102</v>
      </c>
    </row>
    <row r="12" spans="1:14" x14ac:dyDescent="0.3">
      <c r="A12" t="s">
        <v>31</v>
      </c>
      <c r="B12" t="s">
        <v>12</v>
      </c>
      <c r="C12" s="11">
        <v>46040</v>
      </c>
      <c r="D12" s="11"/>
      <c r="E12" s="11"/>
      <c r="F12" s="11">
        <v>46052</v>
      </c>
      <c r="G12" s="11"/>
      <c r="H12" s="11"/>
      <c r="I12" s="10">
        <f t="shared" si="0"/>
        <v>12</v>
      </c>
      <c r="J12" s="1">
        <f t="shared" si="1"/>
        <v>10</v>
      </c>
      <c r="N12" s="8">
        <v>46103</v>
      </c>
    </row>
    <row r="13" spans="1:14" x14ac:dyDescent="0.3">
      <c r="A13" t="s">
        <v>29</v>
      </c>
      <c r="B13" t="s">
        <v>13</v>
      </c>
      <c r="C13" s="11">
        <v>46041</v>
      </c>
      <c r="D13" s="11"/>
      <c r="E13" s="11"/>
      <c r="F13" s="11">
        <v>46052</v>
      </c>
      <c r="G13" s="11"/>
      <c r="H13" s="11"/>
      <c r="I13" s="10">
        <f t="shared" si="0"/>
        <v>11</v>
      </c>
      <c r="J13" s="1">
        <f t="shared" si="1"/>
        <v>10</v>
      </c>
      <c r="N13" s="8">
        <v>46135</v>
      </c>
    </row>
    <row r="14" spans="1:14" x14ac:dyDescent="0.3">
      <c r="A14" t="s">
        <v>28</v>
      </c>
      <c r="B14" t="s">
        <v>14</v>
      </c>
      <c r="C14" s="11">
        <v>46042</v>
      </c>
      <c r="D14" s="11"/>
      <c r="E14" s="11"/>
      <c r="F14" s="11">
        <v>46052</v>
      </c>
      <c r="G14" s="11"/>
      <c r="H14" s="11"/>
      <c r="I14" s="10">
        <f t="shared" si="0"/>
        <v>10</v>
      </c>
      <c r="J14" s="1">
        <f t="shared" si="1"/>
        <v>9</v>
      </c>
      <c r="N14" s="8">
        <v>46143</v>
      </c>
    </row>
    <row r="15" spans="1:14" x14ac:dyDescent="0.3">
      <c r="A15" t="s">
        <v>32</v>
      </c>
      <c r="B15" t="s">
        <v>15</v>
      </c>
      <c r="C15" s="11">
        <v>46054</v>
      </c>
      <c r="D15" s="11"/>
      <c r="E15" s="11"/>
      <c r="F15" s="11">
        <v>46052</v>
      </c>
      <c r="G15" s="11"/>
      <c r="H15" s="11"/>
      <c r="I15" s="10" t="str">
        <f t="shared" si="0"/>
        <v>Henüz Başlamamıştır</v>
      </c>
      <c r="J15" s="1">
        <f t="shared" si="1"/>
        <v>0</v>
      </c>
      <c r="N15" s="8">
        <v>46161</v>
      </c>
    </row>
    <row r="16" spans="1:14" x14ac:dyDescent="0.3">
      <c r="A16" t="s">
        <v>33</v>
      </c>
      <c r="B16" t="s">
        <v>8</v>
      </c>
      <c r="C16" s="11">
        <v>46057</v>
      </c>
      <c r="D16" s="11"/>
      <c r="E16" s="11"/>
      <c r="F16" s="11">
        <v>46052</v>
      </c>
      <c r="G16" s="11"/>
      <c r="H16" s="11"/>
      <c r="I16" s="10" t="str">
        <f t="shared" si="0"/>
        <v>Henüz Başlamamıştır</v>
      </c>
      <c r="J16" s="1">
        <f t="shared" si="1"/>
        <v>0</v>
      </c>
      <c r="N16" s="8">
        <v>46168</v>
      </c>
    </row>
    <row r="17" spans="1:14" x14ac:dyDescent="0.3">
      <c r="A17" t="s">
        <v>34</v>
      </c>
      <c r="B17" t="s">
        <v>16</v>
      </c>
      <c r="C17" s="11">
        <v>46058</v>
      </c>
      <c r="D17" s="11"/>
      <c r="E17" s="11"/>
      <c r="F17" s="11">
        <v>46052</v>
      </c>
      <c r="G17" s="11"/>
      <c r="H17" s="11"/>
      <c r="I17" s="10" t="str">
        <f t="shared" si="0"/>
        <v>Henüz Başlamamıştır</v>
      </c>
      <c r="J17" s="1">
        <f t="shared" si="1"/>
        <v>0</v>
      </c>
      <c r="N17" s="8">
        <v>46169</v>
      </c>
    </row>
    <row r="18" spans="1:14" x14ac:dyDescent="0.3">
      <c r="A18" t="s">
        <v>35</v>
      </c>
      <c r="B18" t="s">
        <v>17</v>
      </c>
      <c r="C18" s="11">
        <v>46058</v>
      </c>
      <c r="D18" s="11"/>
      <c r="E18" s="11"/>
      <c r="F18" s="11">
        <v>46052</v>
      </c>
      <c r="G18" s="11"/>
      <c r="H18" s="11"/>
      <c r="I18" s="10" t="str">
        <f t="shared" si="0"/>
        <v>Henüz Başlamamıştır</v>
      </c>
      <c r="J18" s="1">
        <f t="shared" si="1"/>
        <v>0</v>
      </c>
      <c r="N18" s="8">
        <v>46170</v>
      </c>
    </row>
    <row r="19" spans="1:14" x14ac:dyDescent="0.3">
      <c r="A19" t="s">
        <v>36</v>
      </c>
      <c r="B19" t="s">
        <v>18</v>
      </c>
      <c r="C19" s="11">
        <v>46058</v>
      </c>
      <c r="D19" s="11"/>
      <c r="E19" s="11"/>
      <c r="F19" s="11">
        <v>46052</v>
      </c>
      <c r="G19" s="11"/>
      <c r="H19" s="11"/>
      <c r="I19" s="10" t="str">
        <f t="shared" si="0"/>
        <v>Henüz Başlamamıştır</v>
      </c>
      <c r="J19" s="1">
        <f t="shared" si="1"/>
        <v>0</v>
      </c>
      <c r="N19" s="8">
        <v>46171</v>
      </c>
    </row>
    <row r="20" spans="1:14" x14ac:dyDescent="0.3">
      <c r="A20" t="s">
        <v>30</v>
      </c>
      <c r="B20" t="s">
        <v>19</v>
      </c>
      <c r="C20" s="11">
        <v>46065</v>
      </c>
      <c r="D20" s="11"/>
      <c r="E20" s="11"/>
      <c r="F20" s="11">
        <v>46052</v>
      </c>
      <c r="G20" s="11"/>
      <c r="H20" s="11"/>
      <c r="I20" s="10" t="str">
        <f t="shared" si="0"/>
        <v>Henüz Başlamamıştır</v>
      </c>
      <c r="J20" s="1">
        <f t="shared" si="1"/>
        <v>0</v>
      </c>
      <c r="N20" s="8">
        <v>46172</v>
      </c>
    </row>
    <row r="21" spans="1:14" x14ac:dyDescent="0.3">
      <c r="A21" t="s">
        <v>37</v>
      </c>
      <c r="B21" t="s">
        <v>20</v>
      </c>
      <c r="C21" s="11">
        <v>46067</v>
      </c>
      <c r="D21" s="11"/>
      <c r="E21" s="11"/>
      <c r="F21" s="11">
        <v>46052</v>
      </c>
      <c r="G21" s="11"/>
      <c r="H21" s="11"/>
      <c r="I21" s="10" t="str">
        <f t="shared" si="0"/>
        <v>Henüz Başlamamıştır</v>
      </c>
      <c r="J21" s="1">
        <f t="shared" si="1"/>
        <v>0</v>
      </c>
      <c r="N21" s="8">
        <v>46264</v>
      </c>
    </row>
    <row r="22" spans="1:14" x14ac:dyDescent="0.3">
      <c r="A22" t="s">
        <v>37</v>
      </c>
      <c r="B22" t="s">
        <v>21</v>
      </c>
      <c r="C22" s="11">
        <v>46067</v>
      </c>
      <c r="D22" s="11"/>
      <c r="E22" s="11"/>
      <c r="F22" s="11">
        <v>46052</v>
      </c>
      <c r="G22" s="11"/>
      <c r="H22" s="11"/>
      <c r="I22" s="10" t="str">
        <f t="shared" si="0"/>
        <v>Henüz Başlamamıştır</v>
      </c>
      <c r="J22" s="1">
        <f t="shared" si="1"/>
        <v>0</v>
      </c>
      <c r="N22" s="8">
        <v>46324</v>
      </c>
    </row>
    <row r="23" spans="1:14" x14ac:dyDescent="0.3">
      <c r="A23" t="s">
        <v>38</v>
      </c>
      <c r="B23" t="s">
        <v>22</v>
      </c>
      <c r="C23" s="11">
        <v>46070</v>
      </c>
      <c r="D23" s="11"/>
      <c r="E23" s="11"/>
      <c r="F23" s="11">
        <v>46052</v>
      </c>
      <c r="G23" s="11"/>
      <c r="H23" s="11"/>
      <c r="I23" s="10" t="str">
        <f t="shared" si="0"/>
        <v>Henüz Başlamamıştır</v>
      </c>
      <c r="J23" s="1">
        <f t="shared" si="1"/>
        <v>0</v>
      </c>
    </row>
    <row r="24" spans="1:14" x14ac:dyDescent="0.3">
      <c r="A24" t="s">
        <v>29</v>
      </c>
      <c r="B24" t="s">
        <v>23</v>
      </c>
      <c r="C24" s="11">
        <v>46072</v>
      </c>
      <c r="D24" s="11"/>
      <c r="E24" s="11"/>
      <c r="F24" s="11">
        <v>46052</v>
      </c>
      <c r="G24" s="11"/>
      <c r="H24" s="11"/>
      <c r="I24" s="10" t="str">
        <f t="shared" si="0"/>
        <v>Henüz Başlamamıştır</v>
      </c>
      <c r="J24" s="1">
        <f t="shared" si="1"/>
        <v>0</v>
      </c>
    </row>
  </sheetData>
  <mergeCells count="38">
    <mergeCell ref="C5:E5"/>
    <mergeCell ref="F5:H5"/>
    <mergeCell ref="C7:E7"/>
    <mergeCell ref="C8:E8"/>
    <mergeCell ref="C9:E9"/>
    <mergeCell ref="C22:E22"/>
    <mergeCell ref="C23:E23"/>
    <mergeCell ref="C24:E24"/>
    <mergeCell ref="C13:E13"/>
    <mergeCell ref="C14:E14"/>
    <mergeCell ref="C15:E15"/>
    <mergeCell ref="C16:E16"/>
    <mergeCell ref="C17:E17"/>
    <mergeCell ref="C18:E18"/>
    <mergeCell ref="F7:H7"/>
    <mergeCell ref="F8:H8"/>
    <mergeCell ref="C19:E19"/>
    <mergeCell ref="C20:E20"/>
    <mergeCell ref="C21:E21"/>
    <mergeCell ref="C10:E10"/>
    <mergeCell ref="C11:E11"/>
    <mergeCell ref="C12:E12"/>
    <mergeCell ref="F20:H20"/>
    <mergeCell ref="F21:H21"/>
    <mergeCell ref="F22:H22"/>
    <mergeCell ref="F23:H23"/>
    <mergeCell ref="F24:H24"/>
    <mergeCell ref="F12:H12"/>
    <mergeCell ref="F11:H11"/>
    <mergeCell ref="F10:H10"/>
    <mergeCell ref="F9:H9"/>
    <mergeCell ref="F19:H19"/>
    <mergeCell ref="F13:H13"/>
    <mergeCell ref="F14:H14"/>
    <mergeCell ref="F15:H15"/>
    <mergeCell ref="F16:H16"/>
    <mergeCell ref="F17:H17"/>
    <mergeCell ref="F18:H18"/>
  </mergeCells>
  <conditionalFormatting sqref="I7:I24">
    <cfRule type="cellIs" dxfId="1" priority="2" operator="greaterThan">
      <formula>"0&gt;"</formula>
    </cfRule>
  </conditionalFormatting>
  <conditionalFormatting sqref="J7:J24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77300</dc:creator>
  <cp:lastModifiedBy>77300</cp:lastModifiedBy>
  <dcterms:created xsi:type="dcterms:W3CDTF">2026-02-06T16:26:30Z</dcterms:created>
  <dcterms:modified xsi:type="dcterms:W3CDTF">2026-02-22T20:02:01Z</dcterms:modified>
</cp:coreProperties>
</file>