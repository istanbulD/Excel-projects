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xcel\"/>
    </mc:Choice>
  </mc:AlternateContent>
  <xr:revisionPtr revIDLastSave="0" documentId="13_ncr:1_{194FF075-69FE-4DF6-A3C5-13931EBFDEDC}" xr6:coauthVersionLast="47" xr6:coauthVersionMax="47" xr10:uidLastSave="{00000000-0000-0000-0000-000000000000}"/>
  <bookViews>
    <workbookView xWindow="-108" yWindow="-108" windowWidth="23256" windowHeight="12456" xr2:uid="{17E61CA6-2870-4EB5-BC68-04CC9709E8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1" i="1" l="1"/>
  <c r="AC10" i="1"/>
  <c r="V10" i="1"/>
  <c r="O10" i="1"/>
  <c r="G10" i="1"/>
  <c r="G11" i="1"/>
  <c r="D10" i="1"/>
  <c r="C7" i="1" l="1"/>
  <c r="O5" i="1"/>
  <c r="O7" i="1"/>
  <c r="V11" i="1"/>
  <c r="O11" i="1"/>
  <c r="S11" i="1"/>
  <c r="L11" i="1"/>
  <c r="Z10" i="1"/>
  <c r="Z11" i="1"/>
  <c r="S10" i="1"/>
  <c r="L10" i="1"/>
  <c r="D11" i="1"/>
  <c r="C5" i="1"/>
</calcChain>
</file>

<file path=xl/sharedStrings.xml><?xml version="1.0" encoding="utf-8"?>
<sst xmlns="http://schemas.openxmlformats.org/spreadsheetml/2006/main" count="36" uniqueCount="25">
  <si>
    <t>~spor programı~</t>
  </si>
  <si>
    <t>Gidiş Sayısı</t>
  </si>
  <si>
    <t>Birinci Hedef</t>
  </si>
  <si>
    <t>İkinci  Hedef</t>
  </si>
  <si>
    <t>Birinci Hafta</t>
  </si>
  <si>
    <t>İkinci Hafta</t>
  </si>
  <si>
    <t>Üçüncü Hafta</t>
  </si>
  <si>
    <t>Dördüncü Hafta</t>
  </si>
  <si>
    <t>Pazartesi</t>
  </si>
  <si>
    <t>Çarşamba</t>
  </si>
  <si>
    <t>Cuma</t>
  </si>
  <si>
    <t>Salı</t>
  </si>
  <si>
    <t>Perşempe</t>
  </si>
  <si>
    <t>Pazar</t>
  </si>
  <si>
    <t>Çarşampa</t>
  </si>
  <si>
    <t>Egzerizler</t>
  </si>
  <si>
    <t>Üst kısım</t>
  </si>
  <si>
    <t>Alt kısım</t>
  </si>
  <si>
    <t>Su İçmek</t>
  </si>
  <si>
    <t>2LT</t>
  </si>
  <si>
    <t>3LT</t>
  </si>
  <si>
    <t>4LT</t>
  </si>
  <si>
    <t>&lt;=Haftanın Hedefı(Su içmek)</t>
  </si>
  <si>
    <t xml:space="preserve">     &lt;=Haftanın Hedefı(Eksersizler)</t>
  </si>
  <si>
    <t>&lt;=Haftanın Hedefı(Eksersizler)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</si>
</sst>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  <font>
      <sz val="20"/>
      <color theme="4" tint="0.39997558519241921"/>
      <name val="Goudy Stout"/>
      <family val="1"/>
    </font>
    <font>
      <sz val="14"/>
      <color theme="8" tint="0.59999389629810485"/>
      <name val="Baskerville Old Face"/>
      <family val="1"/>
    </font>
    <font>
      <sz val="14"/>
      <color theme="8" tint="0.39997558519241921"/>
      <name val="Baskerville Old Face"/>
      <family val="1"/>
    </font>
    <font>
      <sz val="14"/>
      <color theme="1"/>
      <name val="Aptos Narrow"/>
      <family val="2"/>
      <charset val="162"/>
      <scheme val="minor"/>
    </font>
    <font>
      <sz val="11"/>
      <color theme="8"/>
      <name val="Aptos Narrow"/>
      <family val="2"/>
      <charset val="162"/>
      <scheme val="minor"/>
    </font>
    <font>
      <sz val="11"/>
      <color theme="8" tint="0.39997558519241921"/>
      <name val="Aptos Narrow"/>
      <family val="2"/>
      <charset val="162"/>
      <scheme val="minor"/>
    </font>
    <font>
      <sz val="11"/>
      <color rgb="FFFFFF00"/>
      <name val="Aptos Narrow"/>
      <family val="2"/>
      <charset val="16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00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6" tint="0.79998168889431442"/>
      </left>
      <right style="thin">
        <color theme="6" tint="0.79998168889431442"/>
      </right>
      <top style="thin">
        <color theme="6" tint="0.79998168889431442"/>
      </top>
      <bottom/>
      <diagonal/>
    </border>
    <border>
      <left style="thin">
        <color theme="6" tint="0.79998168889431442"/>
      </left>
      <right/>
      <top style="thin">
        <color theme="6" tint="0.79998168889431442"/>
      </top>
      <bottom/>
      <diagonal/>
    </border>
    <border>
      <left style="thin">
        <color theme="6" tint="0.79998168889431442"/>
      </left>
      <right style="thin">
        <color theme="6" tint="0.79998168889431442"/>
      </right>
      <top/>
      <bottom/>
      <diagonal/>
    </border>
    <border>
      <left style="thin">
        <color theme="6" tint="0.79998168889431442"/>
      </left>
      <right style="thin">
        <color theme="6" tint="0.79998168889431442"/>
      </right>
      <top/>
      <bottom style="thin">
        <color theme="6" tint="0.79998168889431442"/>
      </bottom>
      <diagonal/>
    </border>
    <border>
      <left style="thin">
        <color theme="3" tint="0.89996032593768116"/>
      </left>
      <right style="thin">
        <color theme="3" tint="0.89996032593768116"/>
      </right>
      <top style="thin">
        <color theme="3" tint="0.89996032593768116"/>
      </top>
      <bottom/>
      <diagonal/>
    </border>
    <border>
      <left style="thin">
        <color theme="3" tint="0.89996032593768116"/>
      </left>
      <right style="thin">
        <color theme="3" tint="0.89996032593768116"/>
      </right>
      <top/>
      <bottom/>
      <diagonal/>
    </border>
    <border>
      <left style="thin">
        <color theme="3" tint="0.89996032593768116"/>
      </left>
      <right style="thin">
        <color theme="3" tint="0.89996032593768116"/>
      </right>
      <top/>
      <bottom style="thin">
        <color theme="3" tint="0.89996032593768116"/>
      </bottom>
      <diagonal/>
    </border>
    <border>
      <left style="thin">
        <color theme="3" tint="0.89996032593768116"/>
      </left>
      <right/>
      <top style="thin">
        <color theme="3" tint="0.89996032593768116"/>
      </top>
      <bottom/>
      <diagonal/>
    </border>
    <border>
      <left style="thin">
        <color theme="3" tint="0.89996032593768116"/>
      </left>
      <right style="thin">
        <color theme="3" tint="0.89996032593768116"/>
      </right>
      <top style="thin">
        <color theme="3" tint="0.89996032593768116"/>
      </top>
      <bottom style="thin">
        <color indexed="64"/>
      </bottom>
      <diagonal/>
    </border>
    <border>
      <left style="thin">
        <color theme="3" tint="0.89996032593768116"/>
      </left>
      <right style="thin">
        <color theme="6" tint="0.79998168889431442"/>
      </right>
      <top style="thin">
        <color theme="3" tint="0.89996032593768116"/>
      </top>
      <bottom/>
      <diagonal/>
    </border>
    <border>
      <left style="thin">
        <color theme="3" tint="0.89996032593768116"/>
      </left>
      <right style="thin">
        <color theme="3" tint="0.89996032593768116"/>
      </right>
      <top/>
      <bottom style="thin">
        <color indexed="64"/>
      </bottom>
      <diagonal/>
    </border>
    <border>
      <left style="thin">
        <color theme="3" tint="0.89996032593768116"/>
      </left>
      <right style="thin">
        <color theme="3" tint="0.89996032593768116"/>
      </right>
      <top style="thin">
        <color indexed="64"/>
      </top>
      <bottom style="thin">
        <color indexed="64"/>
      </bottom>
      <diagonal/>
    </border>
    <border>
      <left style="thin">
        <color theme="3" tint="0.89996032593768116"/>
      </left>
      <right style="thin">
        <color theme="3" tint="0.89996032593768116"/>
      </right>
      <top style="thin">
        <color indexed="64"/>
      </top>
      <bottom/>
      <diagonal/>
    </border>
    <border>
      <left/>
      <right style="thin">
        <color theme="6" tint="0.79998168889431442"/>
      </right>
      <top/>
      <bottom/>
      <diagonal/>
    </border>
    <border>
      <left style="thin">
        <color theme="6" tint="0.79998168889431442"/>
      </left>
      <right style="thin">
        <color theme="6" tint="0.79998168889431442"/>
      </right>
      <top/>
      <bottom style="thin">
        <color theme="6" tint="0.79995117038483843"/>
      </bottom>
      <diagonal/>
    </border>
    <border>
      <left/>
      <right style="thick">
        <color theme="8" tint="0.59996337778862885"/>
      </right>
      <top/>
      <bottom/>
      <diagonal/>
    </border>
    <border>
      <left/>
      <right style="thick">
        <color theme="3" tint="0.749961851863155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8" borderId="10" xfId="0" applyFill="1" applyBorder="1"/>
    <xf numFmtId="0" fontId="0" fillId="0" borderId="10" xfId="0" applyBorder="1"/>
    <xf numFmtId="0" fontId="0" fillId="0" borderId="11" xfId="0" applyBorder="1"/>
    <xf numFmtId="0" fontId="0" fillId="7" borderId="13" xfId="0" applyFill="1" applyBorder="1"/>
    <xf numFmtId="0" fontId="0" fillId="0" borderId="13" xfId="0" applyBorder="1"/>
    <xf numFmtId="0" fontId="0" fillId="0" borderId="14" xfId="0" applyBorder="1"/>
    <xf numFmtId="0" fontId="0" fillId="5" borderId="16" xfId="0" applyFill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6" borderId="20" xfId="0" applyFont="1" applyFill="1" applyBorder="1"/>
    <xf numFmtId="0" fontId="6" fillId="4" borderId="0" xfId="0" applyFont="1" applyFill="1" applyAlignment="1">
      <alignment horizontal="right" indent="21"/>
    </xf>
    <xf numFmtId="0" fontId="6" fillId="4" borderId="21" xfId="0" applyFont="1" applyFill="1" applyBorder="1" applyAlignment="1">
      <alignment horizontal="right" indent="21"/>
    </xf>
    <xf numFmtId="0" fontId="0" fillId="4" borderId="0" xfId="0" applyFill="1" applyAlignment="1">
      <alignment horizontal="right" indent="21"/>
    </xf>
    <xf numFmtId="0" fontId="0" fillId="0" borderId="22" xfId="0" applyBorder="1"/>
    <xf numFmtId="1" fontId="0" fillId="0" borderId="0" xfId="0" applyNumberFormat="1"/>
    <xf numFmtId="10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10" borderId="0" xfId="0" applyFill="1" applyAlignment="1">
      <alignment horizontal="center"/>
    </xf>
    <xf numFmtId="0" fontId="8" fillId="11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3" borderId="17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2" fillId="2" borderId="2" xfId="0" applyFont="1" applyFill="1" applyBorder="1" applyAlignment="1">
      <alignment horizontal="right" indent="108"/>
    </xf>
    <xf numFmtId="0" fontId="2" fillId="2" borderId="3" xfId="0" applyFont="1" applyFill="1" applyBorder="1" applyAlignment="1">
      <alignment horizontal="right" indent="108"/>
    </xf>
    <xf numFmtId="0" fontId="2" fillId="2" borderId="4" xfId="0" applyFont="1" applyFill="1" applyBorder="1" applyAlignment="1">
      <alignment horizontal="right" indent="108"/>
    </xf>
    <xf numFmtId="0" fontId="2" fillId="2" borderId="5" xfId="0" applyFont="1" applyFill="1" applyBorder="1" applyAlignment="1">
      <alignment horizontal="right" indent="108"/>
    </xf>
    <xf numFmtId="0" fontId="2" fillId="2" borderId="6" xfId="0" applyFont="1" applyFill="1" applyBorder="1" applyAlignment="1">
      <alignment horizontal="right" indent="108"/>
    </xf>
    <xf numFmtId="0" fontId="2" fillId="2" borderId="7" xfId="0" applyFont="1" applyFill="1" applyBorder="1" applyAlignment="1">
      <alignment horizontal="right" indent="108"/>
    </xf>
    <xf numFmtId="0" fontId="4" fillId="3" borderId="1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</cellXfs>
  <cellStyles count="1">
    <cellStyle name="Normal" xfId="0" builtinId="0"/>
  </cellStyles>
  <dxfs count="28">
    <dxf>
      <fill>
        <patternFill>
          <bgColor theme="2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numFmt numFmtId="1" formatCode="0"/>
      <fill>
        <patternFill>
          <bgColor theme="8" tint="0.79998168889431442"/>
        </patternFill>
      </fill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>
        <left style="thin">
          <color theme="3" tint="0.89996032593768116"/>
        </left>
        <right style="thin">
          <color theme="3" tint="0.89996032593768116"/>
        </right>
        <vertical style="thin">
          <color theme="3" tint="0.89996032593768116"/>
        </vertic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1A5C9B-4BF0-4BA2-8F5A-2D667F0769D9}" name="Table2" displayName="Table2" ref="A14:A20" totalsRowShown="0" headerRowDxfId="27" headerRowBorderDxfId="26" tableBorderDxfId="25" totalsRowBorderDxfId="24">
  <autoFilter ref="A14:A20" xr:uid="{731A5C9B-4BF0-4BA2-8F5A-2D667F0769D9}"/>
  <tableColumns count="1">
    <tableColumn id="1" xr3:uid="{E93BE19A-BE1A-4012-A668-7072F9A9A05E}" name="Egzerizler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9BB33-F79E-48B8-BF0E-50CB4D8D018D}">
  <dimension ref="A1:AC24"/>
  <sheetViews>
    <sheetView showGridLines="0" rightToLeft="1" tabSelected="1" zoomScale="81" zoomScaleNormal="81" workbookViewId="0">
      <selection activeCell="C16" sqref="C16"/>
    </sheetView>
  </sheetViews>
  <sheetFormatPr defaultRowHeight="14.4" x14ac:dyDescent="0.3"/>
  <cols>
    <col min="1" max="1" width="10.5546875" customWidth="1"/>
    <col min="2" max="2" width="8.44140625" bestFit="1" customWidth="1"/>
    <col min="3" max="3" width="10.77734375" customWidth="1"/>
    <col min="4" max="4" width="13.6640625" customWidth="1"/>
    <col min="7" max="7" width="12.21875" bestFit="1" customWidth="1"/>
    <col min="9" max="9" width="13.21875" bestFit="1" customWidth="1"/>
    <col min="10" max="10" width="8" customWidth="1"/>
    <col min="11" max="11" width="16.88671875" customWidth="1"/>
    <col min="15" max="15" width="10.21875" customWidth="1"/>
    <col min="16" max="16" width="11.77734375" customWidth="1"/>
    <col min="17" max="17" width="14.33203125" customWidth="1"/>
    <col min="21" max="21" width="10.88671875" customWidth="1"/>
    <col min="22" max="23" width="12.44140625" customWidth="1"/>
  </cols>
  <sheetData>
    <row r="1" spans="1:29" ht="14.4" customHeight="1" x14ac:dyDescent="0.3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4"/>
    </row>
    <row r="2" spans="1:29" x14ac:dyDescent="0.3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7"/>
    </row>
    <row r="5" spans="1:29" ht="18" x14ac:dyDescent="0.35">
      <c r="A5" s="38" t="s">
        <v>1</v>
      </c>
      <c r="B5" s="39"/>
      <c r="C5" s="19">
        <f>SUM(C15:W16)</f>
        <v>10</v>
      </c>
      <c r="D5" s="19"/>
      <c r="E5" s="19"/>
      <c r="F5" s="19"/>
      <c r="G5" s="43"/>
      <c r="J5" s="28" t="s">
        <v>2</v>
      </c>
      <c r="K5" s="28"/>
      <c r="L5" s="28"/>
      <c r="M5" s="28"/>
      <c r="N5" s="28"/>
      <c r="O5" s="42" t="str">
        <f>IF(SUM(C15:W15)=6,"Aferin Hedefine ulaştın","Harikasin Hedefin Yaklaşmaya ulaşıyorsun")</f>
        <v>Harikasin Hedefin Yaklaşmaya ulaşıyorsun</v>
      </c>
      <c r="P5" s="42"/>
      <c r="Q5" s="42"/>
      <c r="R5" s="17"/>
    </row>
    <row r="7" spans="1:29" ht="18" x14ac:dyDescent="0.35">
      <c r="A7" s="40" t="s">
        <v>18</v>
      </c>
      <c r="B7" s="41"/>
      <c r="C7" s="19">
        <f>(SUM(C18:W20))</f>
        <v>40</v>
      </c>
      <c r="D7" s="19"/>
      <c r="E7" s="19"/>
      <c r="F7" s="19"/>
      <c r="G7" s="44"/>
      <c r="J7" s="28" t="s">
        <v>3</v>
      </c>
      <c r="K7" s="28"/>
      <c r="L7" s="28"/>
      <c r="M7" s="28"/>
      <c r="N7" s="28"/>
      <c r="O7" s="19" t="str">
        <f>IF(SUM(C16:W16)=6,"Aferin Hedefine ulaştın","Harikasin Hedefin Yaklaşmaya ulaşyorsun")</f>
        <v>Harikasin Hedefin Yaklaşmaya ulaşyorsun</v>
      </c>
      <c r="P7" s="19"/>
      <c r="Q7" s="19"/>
    </row>
    <row r="10" spans="1:29" x14ac:dyDescent="0.3">
      <c r="A10" s="29" t="s">
        <v>22</v>
      </c>
      <c r="B10" s="29"/>
      <c r="C10" s="29"/>
      <c r="D10" s="19" t="str">
        <f>IF(SUM(C18:E20)&lt;=12,"Yetirince Su içtin",IF(SUM(C18:E20)&lt;=9,"Yetirince Su içmemiştir",IF(SUM(C18:E20)&lt;=6,"Az su içtiniz")))</f>
        <v>Yetirince Su içtin</v>
      </c>
      <c r="E10" s="19"/>
      <c r="F10" s="19"/>
      <c r="G10" s="16">
        <f>ROUND(SUM(C18:E20)/9,0)*100</f>
        <v>100</v>
      </c>
      <c r="I10" s="22" t="s">
        <v>22</v>
      </c>
      <c r="J10" s="22"/>
      <c r="K10" s="22"/>
      <c r="L10" s="19" t="str">
        <f>IF(SUM(J18:L20)= 3,"Yetirince Su içtin","Yetirince Su içmemektir")</f>
        <v>Yetirince Su içmemektir</v>
      </c>
      <c r="M10" s="19"/>
      <c r="N10" s="19"/>
      <c r="O10" s="16">
        <f>(SUM(J18:L20)/9)*100</f>
        <v>122.22222222222223</v>
      </c>
      <c r="P10" s="20" t="s">
        <v>22</v>
      </c>
      <c r="Q10" s="20"/>
      <c r="R10" s="20"/>
      <c r="S10" s="19" t="str">
        <f>IF(SUM(O18:Q20)= 3,"Yetirince Su içtin","Yetirince Su içmemektir")</f>
        <v>Yetirince Su içmemektir</v>
      </c>
      <c r="T10" s="19"/>
      <c r="U10" s="19"/>
      <c r="V10">
        <f>(SUM(O18:Q20)/9)*100</f>
        <v>100</v>
      </c>
      <c r="W10" s="20" t="s">
        <v>22</v>
      </c>
      <c r="X10" s="20"/>
      <c r="Y10" s="20"/>
      <c r="Z10" s="19" t="str">
        <f>IF(SUM(U18:W20)= 3,"Yetirince Su içtin","Yetirince Su içmemektir")</f>
        <v>Yetirince Su içmemektir</v>
      </c>
      <c r="AA10" s="19"/>
      <c r="AB10" s="19"/>
      <c r="AC10" s="18">
        <f>(SUM(U18:W20)/9)*100</f>
        <v>100</v>
      </c>
    </row>
    <row r="11" spans="1:29" x14ac:dyDescent="0.3">
      <c r="A11" s="30" t="s">
        <v>23</v>
      </c>
      <c r="B11" s="30"/>
      <c r="C11" s="30"/>
      <c r="D11" s="19" t="str">
        <f>IF(SUM(C15:E16)= 3,"Hedefine ulaştın","Hedefin Tamamlanmamıştır")</f>
        <v>Hedefin Tamamlanmamıştır</v>
      </c>
      <c r="E11" s="19"/>
      <c r="F11" s="19"/>
      <c r="G11" s="16">
        <f>(SUM(C15:E16)/3)*100</f>
        <v>66.666666666666657</v>
      </c>
      <c r="I11" s="31" t="s">
        <v>24</v>
      </c>
      <c r="J11" s="31"/>
      <c r="K11" s="31"/>
      <c r="L11" s="19" t="str">
        <f>IF(SUM(J15:L16)=3,"Hedefine ulaştın","Hedefin Tamamlanmamıştır")</f>
        <v>Hedefin Tamamlanmamıştır</v>
      </c>
      <c r="M11" s="19"/>
      <c r="N11" s="19"/>
      <c r="O11" s="16">
        <f>(SUM(J15:L16)/3)*100</f>
        <v>66.666666666666657</v>
      </c>
      <c r="P11" s="22" t="s">
        <v>24</v>
      </c>
      <c r="Q11" s="22"/>
      <c r="R11" s="22"/>
      <c r="S11" s="19" t="str">
        <f>IF(SUM(O15:Q16)=3,"Hedefine ulaştın","Hedefin Tamamlanmamıştır")</f>
        <v>Hedefine ulaştın</v>
      </c>
      <c r="T11" s="19"/>
      <c r="U11" s="19"/>
      <c r="V11">
        <f>(SUM(O15:Q16)/3)*100</f>
        <v>100</v>
      </c>
      <c r="W11" s="21" t="s">
        <v>24</v>
      </c>
      <c r="X11" s="21"/>
      <c r="Y11" s="21"/>
      <c r="Z11" s="19" t="str">
        <f>IF(SUM(U15:W16)=3,"Hedefine ulaştın","Hedefin Tamamlanmamıştır")</f>
        <v>Hedefine ulaştın</v>
      </c>
      <c r="AA11" s="19"/>
      <c r="AB11" s="19"/>
      <c r="AC11" s="16">
        <f>(SUM(U15:W16)/9)*100</f>
        <v>33.333333333333329</v>
      </c>
    </row>
    <row r="12" spans="1:29" x14ac:dyDescent="0.3">
      <c r="AC12" s="16"/>
    </row>
    <row r="13" spans="1:29" x14ac:dyDescent="0.3">
      <c r="A13" s="7"/>
      <c r="B13" s="23" t="s">
        <v>4</v>
      </c>
      <c r="C13" s="23"/>
      <c r="D13" s="23"/>
      <c r="E13" s="23"/>
      <c r="F13" s="23"/>
      <c r="G13" s="25"/>
      <c r="H13" s="26" t="s">
        <v>5</v>
      </c>
      <c r="I13" s="26"/>
      <c r="J13" s="26"/>
      <c r="K13" s="26"/>
      <c r="L13" s="26"/>
      <c r="M13" s="27"/>
      <c r="N13" s="23" t="s">
        <v>6</v>
      </c>
      <c r="O13" s="23"/>
      <c r="P13" s="23"/>
      <c r="Q13" s="23"/>
      <c r="R13" s="23"/>
      <c r="S13" s="24"/>
      <c r="T13" s="12" t="s">
        <v>7</v>
      </c>
      <c r="U13" s="12"/>
      <c r="V13" s="12"/>
      <c r="W13" s="13"/>
      <c r="X13" s="14"/>
      <c r="Y13" s="14"/>
      <c r="Z13" s="14"/>
    </row>
    <row r="14" spans="1:29" x14ac:dyDescent="0.3">
      <c r="A14" s="8" t="s">
        <v>15</v>
      </c>
      <c r="C14" s="4" t="s">
        <v>8</v>
      </c>
      <c r="D14" s="4" t="s">
        <v>9</v>
      </c>
      <c r="E14" s="4" t="s">
        <v>10</v>
      </c>
      <c r="J14" s="1" t="s">
        <v>11</v>
      </c>
      <c r="K14" s="1" t="s">
        <v>12</v>
      </c>
      <c r="L14" s="1" t="s">
        <v>13</v>
      </c>
      <c r="O14" s="4" t="s">
        <v>11</v>
      </c>
      <c r="P14" s="4" t="s">
        <v>12</v>
      </c>
      <c r="Q14" s="4" t="s">
        <v>13</v>
      </c>
      <c r="U14" s="1" t="s">
        <v>14</v>
      </c>
      <c r="V14" s="1" t="s">
        <v>10</v>
      </c>
      <c r="W14" s="1" t="s">
        <v>8</v>
      </c>
    </row>
    <row r="15" spans="1:29" x14ac:dyDescent="0.3">
      <c r="A15" s="9" t="s">
        <v>16</v>
      </c>
      <c r="C15" s="5"/>
      <c r="D15" s="5"/>
      <c r="E15" s="5"/>
      <c r="J15" s="2"/>
      <c r="K15" s="2"/>
      <c r="L15" s="2"/>
      <c r="O15" s="5"/>
      <c r="P15" s="5">
        <v>1</v>
      </c>
      <c r="Q15" s="5">
        <v>1</v>
      </c>
      <c r="U15" s="2">
        <v>1</v>
      </c>
      <c r="V15" s="2">
        <v>1</v>
      </c>
      <c r="W15" s="2">
        <v>1</v>
      </c>
    </row>
    <row r="16" spans="1:29" x14ac:dyDescent="0.3">
      <c r="A16" s="10" t="s">
        <v>17</v>
      </c>
      <c r="C16" s="5">
        <v>1</v>
      </c>
      <c r="D16" s="5"/>
      <c r="E16" s="5">
        <v>1</v>
      </c>
      <c r="J16" s="2">
        <v>1</v>
      </c>
      <c r="K16" s="2"/>
      <c r="L16" s="2">
        <v>1</v>
      </c>
      <c r="O16" s="5">
        <v>1</v>
      </c>
      <c r="P16" s="5"/>
      <c r="Q16" s="5"/>
      <c r="U16" s="2"/>
      <c r="V16" s="2"/>
      <c r="W16" s="2"/>
    </row>
    <row r="17" spans="1:23" x14ac:dyDescent="0.3">
      <c r="A17" s="11" t="s">
        <v>18</v>
      </c>
      <c r="C17" s="5"/>
      <c r="D17" s="5"/>
      <c r="E17" s="5"/>
      <c r="J17" s="2"/>
      <c r="K17" s="2"/>
      <c r="L17" s="2"/>
      <c r="O17" s="5"/>
      <c r="P17" s="5"/>
      <c r="Q17" s="5"/>
      <c r="U17" s="2"/>
      <c r="V17" s="2"/>
      <c r="W17" s="2"/>
    </row>
    <row r="18" spans="1:23" x14ac:dyDescent="0.3">
      <c r="A18" s="10" t="s">
        <v>19</v>
      </c>
      <c r="C18" s="5"/>
      <c r="D18" s="5"/>
      <c r="E18" s="5"/>
      <c r="J18" s="2"/>
      <c r="K18" s="2"/>
      <c r="L18" s="2"/>
      <c r="O18" s="5">
        <v>2</v>
      </c>
      <c r="P18" s="5"/>
      <c r="Q18" s="5"/>
      <c r="U18" s="2">
        <v>2</v>
      </c>
      <c r="V18" s="2"/>
      <c r="W18" s="2"/>
    </row>
    <row r="19" spans="1:23" x14ac:dyDescent="0.3">
      <c r="A19" s="10" t="s">
        <v>20</v>
      </c>
      <c r="C19" s="5">
        <v>3</v>
      </c>
      <c r="D19" s="5"/>
      <c r="E19" s="5"/>
      <c r="J19" s="2">
        <v>3</v>
      </c>
      <c r="K19" s="2"/>
      <c r="L19" s="2"/>
      <c r="O19" s="5"/>
      <c r="P19" s="5">
        <v>3</v>
      </c>
      <c r="Q19" s="5"/>
      <c r="U19" s="2"/>
      <c r="V19" s="2">
        <v>3</v>
      </c>
      <c r="W19" s="2"/>
    </row>
    <row r="20" spans="1:23" x14ac:dyDescent="0.3">
      <c r="A20" s="10" t="s">
        <v>21</v>
      </c>
      <c r="C20" s="5"/>
      <c r="D20" s="5">
        <v>4</v>
      </c>
      <c r="E20" s="5">
        <v>4</v>
      </c>
      <c r="J20" s="2"/>
      <c r="K20" s="2">
        <v>4</v>
      </c>
      <c r="L20" s="2">
        <v>4</v>
      </c>
      <c r="O20" s="5"/>
      <c r="P20" s="5"/>
      <c r="Q20" s="5">
        <v>4</v>
      </c>
      <c r="U20" s="2"/>
      <c r="V20" s="2"/>
      <c r="W20" s="2">
        <v>4</v>
      </c>
    </row>
    <row r="21" spans="1:23" x14ac:dyDescent="0.3">
      <c r="C21" s="5"/>
      <c r="D21" s="5"/>
      <c r="E21" s="5"/>
      <c r="J21" s="2"/>
      <c r="K21" s="2"/>
      <c r="L21" s="2"/>
      <c r="O21" s="5"/>
      <c r="P21" s="5"/>
      <c r="Q21" s="5"/>
      <c r="U21" s="2"/>
      <c r="V21" s="2"/>
      <c r="W21" s="2"/>
    </row>
    <row r="22" spans="1:23" x14ac:dyDescent="0.3">
      <c r="C22" s="5"/>
      <c r="D22" s="5"/>
      <c r="E22" s="5"/>
      <c r="J22" s="2"/>
      <c r="K22" s="2"/>
      <c r="L22" s="2"/>
      <c r="O22" s="5"/>
      <c r="P22" s="5"/>
      <c r="Q22" s="5"/>
      <c r="U22" s="2"/>
      <c r="V22" s="2"/>
      <c r="W22" s="2"/>
    </row>
    <row r="23" spans="1:23" x14ac:dyDescent="0.3">
      <c r="C23" s="5"/>
      <c r="D23" s="5"/>
      <c r="E23" s="5"/>
      <c r="J23" s="2"/>
      <c r="K23" s="2"/>
      <c r="L23" s="2"/>
      <c r="O23" s="5"/>
      <c r="P23" s="5"/>
      <c r="Q23" s="5"/>
      <c r="U23" s="2"/>
      <c r="V23" s="2"/>
      <c r="W23" s="2"/>
    </row>
    <row r="24" spans="1:23" x14ac:dyDescent="0.3">
      <c r="C24" s="6"/>
      <c r="D24" s="6"/>
      <c r="E24" s="6"/>
      <c r="J24" s="3"/>
      <c r="K24" s="15"/>
      <c r="L24" s="3"/>
      <c r="O24" s="6"/>
      <c r="P24" s="6"/>
      <c r="Q24" s="6"/>
      <c r="U24" s="3"/>
      <c r="V24" s="3"/>
      <c r="W24" s="3"/>
    </row>
  </sheetData>
  <mergeCells count="28">
    <mergeCell ref="A1:Y2"/>
    <mergeCell ref="L10:N10"/>
    <mergeCell ref="L11:N11"/>
    <mergeCell ref="A5:B5"/>
    <mergeCell ref="A7:B7"/>
    <mergeCell ref="O5:Q5"/>
    <mergeCell ref="O7:Q7"/>
    <mergeCell ref="C5:G5"/>
    <mergeCell ref="C7:G7"/>
    <mergeCell ref="N13:S13"/>
    <mergeCell ref="B13:G13"/>
    <mergeCell ref="H13:M13"/>
    <mergeCell ref="J5:N5"/>
    <mergeCell ref="J7:N7"/>
    <mergeCell ref="A10:C10"/>
    <mergeCell ref="A11:C11"/>
    <mergeCell ref="D11:F11"/>
    <mergeCell ref="D10:F10"/>
    <mergeCell ref="I10:K10"/>
    <mergeCell ref="I11:K11"/>
    <mergeCell ref="Z10:AB10"/>
    <mergeCell ref="Z11:AB11"/>
    <mergeCell ref="W10:Y10"/>
    <mergeCell ref="W11:Y11"/>
    <mergeCell ref="P10:R10"/>
    <mergeCell ref="P11:R11"/>
    <mergeCell ref="S10:U10"/>
    <mergeCell ref="S11:U11"/>
  </mergeCells>
  <conditionalFormatting sqref="A15:A20 A13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{BBEB9FAC-ECBC-4373-A11F-E30248667670}</x14:id>
        </ext>
      </extLst>
    </cfRule>
  </conditionalFormatting>
  <conditionalFormatting sqref="A17:A20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5:E20">
    <cfRule type="cellIs" dxfId="23" priority="45" operator="greaterThan">
      <formula>0</formula>
    </cfRule>
  </conditionalFormatting>
  <conditionalFormatting sqref="C5:G5">
    <cfRule type="dataBar" priority="44">
      <dataBar>
        <cfvo type="num" val="0"/>
        <cfvo type="num" val="12"/>
        <color theme="8" tint="0.79998168889431442"/>
      </dataBar>
      <extLst>
        <ext xmlns:x14="http://schemas.microsoft.com/office/spreadsheetml/2009/9/main" uri="{B025F937-C7B1-47D3-B67F-A62EFF666E3E}">
          <x14:id>{A55B14AD-9905-420B-87F2-C4B05484FB54}</x14:id>
        </ext>
      </extLst>
    </cfRule>
  </conditionalFormatting>
  <conditionalFormatting sqref="C7:G7">
    <cfRule type="dataBar" priority="43">
      <dataBar>
        <cfvo type="num" val="0"/>
        <cfvo type="num" val="4"/>
        <color theme="8" tint="0.79998168889431442"/>
      </dataBar>
      <extLst>
        <ext xmlns:x14="http://schemas.microsoft.com/office/spreadsheetml/2009/9/main" uri="{B025F937-C7B1-47D3-B67F-A62EFF666E3E}">
          <x14:id>{F041C5AF-BDE7-48DD-A052-A10D831EEE2A}</x14:id>
        </ext>
      </extLst>
    </cfRule>
    <cfRule type="dataBar" priority="42">
      <dataBar>
        <cfvo type="num" val="0"/>
        <cfvo type="num" val="36"/>
        <color theme="3" tint="0.89999084444715716"/>
      </dataBar>
      <extLst>
        <ext xmlns:x14="http://schemas.microsoft.com/office/spreadsheetml/2009/9/main" uri="{B025F937-C7B1-47D3-B67F-A62EFF666E3E}">
          <x14:id>{13C50E41-8568-4FC9-9DC8-1D008DC43EC5}</x14:id>
        </ext>
      </extLst>
    </cfRule>
  </conditionalFormatting>
  <conditionalFormatting sqref="D10">
    <cfRule type="containsText" dxfId="22" priority="38" operator="containsText" text="Hedefin Tamamlanmamıştır">
      <formula>NOT(ISERROR(SEARCH("Hedefin Tamamlanmamıştır",D10)))</formula>
    </cfRule>
    <cfRule type="containsText" dxfId="21" priority="37" operator="containsText" text="Hedefine ulaştın">
      <formula>NOT(ISERROR(SEARCH("Hedefine ulaştın",D10)))</formula>
    </cfRule>
    <cfRule type="containsText" dxfId="20" priority="34" operator="containsText" text="Yetirince Su içmemiştir">
      <formula>NOT(ISERROR(SEARCH("Yetirince Su içmemiştir",D10)))</formula>
    </cfRule>
    <cfRule type="containsText" dxfId="19" priority="33" operator="containsText" text="Yetirince Su içtin">
      <formula>NOT(ISERROR(SEARCH("Yetirince Su içtin",D10)))</formula>
    </cfRule>
  </conditionalFormatting>
  <conditionalFormatting sqref="D11 G11">
    <cfRule type="containsText" dxfId="18" priority="35" operator="containsText" text="Hedefin ulaştın">
      <formula>NOT(ISERROR(SEARCH("Hedefin ulaştın",D11)))</formula>
    </cfRule>
    <cfRule type="containsText" dxfId="17" priority="32" operator="containsText" text="Hedefine ulaştın">
      <formula>NOT(ISERROR(SEARCH("Hedefine ulaştın",D11)))</formula>
    </cfRule>
    <cfRule type="containsText" dxfId="16" priority="36" operator="containsText" text="Hedefin Tamamlanmamıştır">
      <formula>NOT(ISERROR(SEARCH("Hedefin Tamamlanmamıştır",D11)))</formula>
    </cfRule>
  </conditionalFormatting>
  <conditionalFormatting sqref="G10">
    <cfRule type="iconSet" priority="13">
      <iconSet iconSet="3Symbols2">
        <cfvo type="percent" val="0"/>
        <cfvo type="num" val="60"/>
        <cfvo type="num" val="90"/>
      </iconSet>
    </cfRule>
    <cfRule type="iconSet" priority="14">
      <iconSet>
        <cfvo type="percent" val="0"/>
        <cfvo type="num" val="60"/>
        <cfvo type="num" val="90"/>
      </iconSet>
    </cfRule>
    <cfRule type="iconSet" priority="15">
      <iconSet iconSet="3Symbols2">
        <cfvo type="percent" val="0"/>
        <cfvo type="percent" val="33"/>
        <cfvo type="percent" val="100"/>
      </iconSet>
    </cfRule>
    <cfRule type="iconSet" priority="16">
      <iconSet iconSet="3Symbols2">
        <cfvo type="percent" val="0"/>
        <cfvo type="percent" val="33"/>
        <cfvo type="percent" val="67"/>
      </iconSet>
    </cfRule>
    <cfRule type="iconSet" priority="17">
      <iconSet iconSet="3Symbols2">
        <cfvo type="percent" val="0"/>
        <cfvo type="percent" val="33"/>
        <cfvo type="percent" val="67"/>
      </iconSet>
    </cfRule>
  </conditionalFormatting>
  <conditionalFormatting sqref="G11">
    <cfRule type="iconSet" priority="11">
      <iconSet iconSet="3Symbols2">
        <cfvo type="percent" val="0"/>
        <cfvo type="num" val="60"/>
        <cfvo type="num" val="90"/>
      </iconSet>
    </cfRule>
  </conditionalFormatting>
  <conditionalFormatting sqref="J15:L20 U15:W20">
    <cfRule type="dataBar" priority="41">
      <dataBar>
        <cfvo type="num" val="0"/>
        <cfvo type="num" val="1"/>
        <color theme="3" tint="0.89999084444715716"/>
      </dataBar>
      <extLst>
        <ext xmlns:x14="http://schemas.microsoft.com/office/spreadsheetml/2009/9/main" uri="{B025F937-C7B1-47D3-B67F-A62EFF666E3E}">
          <x14:id>{0DEF99B4-5A38-46BB-97FB-9A451845660E}</x14:id>
        </ext>
      </extLst>
    </cfRule>
  </conditionalFormatting>
  <conditionalFormatting sqref="K24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{B79191A8-7BB7-46DA-954A-7636EFA6D0E9}</x14:id>
        </ext>
      </extLst>
    </cfRule>
  </conditionalFormatting>
  <conditionalFormatting sqref="K25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{27AB3885-0817-4E6B-9D1A-5A77DA13829F}</x14:id>
        </ext>
      </extLst>
    </cfRule>
  </conditionalFormatting>
  <conditionalFormatting sqref="L10:N10 S10">
    <cfRule type="containsText" dxfId="15" priority="31" operator="containsText" text="Yetirince Su içmemektir">
      <formula>NOT(ISERROR(SEARCH("Yetirince Su içmemektir",L10)))</formula>
    </cfRule>
    <cfRule type="containsText" dxfId="14" priority="30" operator="containsText" text="Yetirince Su içtin">
      <formula>NOT(ISERROR(SEARCH("Yetirince Su içtin",L10)))</formula>
    </cfRule>
  </conditionalFormatting>
  <conditionalFormatting sqref="L11:N11">
    <cfRule type="containsText" dxfId="13" priority="28" operator="containsText" text="Hedefin Tamamlanmamıştır">
      <formula>NOT(ISERROR(SEARCH("Hedefin Tamamlanmamıştır",L11)))</formula>
    </cfRule>
    <cfRule type="containsText" dxfId="12" priority="29" operator="containsText" text="Hedefin Tamamlanmamıştır">
      <formula>NOT(ISERROR(SEARCH("Hedefin Tamamlanmamıştır",L11)))</formula>
    </cfRule>
  </conditionalFormatting>
  <conditionalFormatting sqref="O10">
    <cfRule type="iconSet" priority="10">
      <iconSet iconSet="3Symbols2">
        <cfvo type="percent" val="0"/>
        <cfvo type="num" val="60"/>
        <cfvo type="num" val="100"/>
      </iconSet>
    </cfRule>
  </conditionalFormatting>
  <conditionalFormatting sqref="O11">
    <cfRule type="iconSet" priority="9">
      <iconSet iconSet="3Symbols2">
        <cfvo type="percent" val="0"/>
        <cfvo type="num" val="60"/>
        <cfvo type="num" val="90"/>
      </iconSet>
    </cfRule>
  </conditionalFormatting>
  <conditionalFormatting sqref="O5:Q5">
    <cfRule type="containsText" dxfId="11" priority="6" operator="containsText" text="Harikasin Hedefin yaklaşmaya ulaşıyorsun">
      <formula>NOT(ISERROR(SEARCH("Harikasin Hedefin yaklaşmaya ulaşıyorsun",O5)))</formula>
    </cfRule>
    <cfRule type="containsText" dxfId="10" priority="5" operator="containsText" text="Aferin Hedefine ulaştın">
      <formula>NOT(ISERROR(SEARCH("Aferin Hedefine ulaştın",O5)))</formula>
    </cfRule>
  </conditionalFormatting>
  <conditionalFormatting sqref="O7:Q7">
    <cfRule type="containsText" dxfId="9" priority="1" operator="containsText" text="Harikasin Hedefin Yaklaşmaya ulaşıyorsun">
      <formula>NOT(ISERROR(SEARCH("Harikasin Hedefin Yaklaşmaya ulaşıyorsun",O7)))</formula>
    </cfRule>
    <cfRule type="containsText" dxfId="8" priority="4" operator="containsText" text="Harikasin Hedefin Yaklaşmaya ulaşıyorsun">
      <formula>NOT(ISERROR(SEARCH("Harikasin Hedefin Yaklaşmaya ulaşıyorsun",O7)))</formula>
    </cfRule>
    <cfRule type="containsText" dxfId="7" priority="3" operator="containsText" text="Aferin Hedefine ulaştın">
      <formula>NOT(ISERROR(SEARCH("Aferin Hedefine ulaştın",O7)))</formula>
    </cfRule>
    <cfRule type="containsText" dxfId="6" priority="2" operator="containsText" text="Harikasin Hedefin Yaklaşmaya ulaşıyorsun">
      <formula>NOT(ISERROR(SEARCH("Harikasin Hedefin Yaklaşmaya ulaşıyorsun",O7)))</formula>
    </cfRule>
  </conditionalFormatting>
  <conditionalFormatting sqref="O15:Q20">
    <cfRule type="dataBar" priority="40">
      <dataBar>
        <cfvo type="num" val="0"/>
        <cfvo type="num" val="1"/>
        <color theme="8" tint="0.79998168889431442"/>
      </dataBar>
      <extLst>
        <ext xmlns:x14="http://schemas.microsoft.com/office/spreadsheetml/2009/9/main" uri="{B025F937-C7B1-47D3-B67F-A62EFF666E3E}">
          <x14:id>{1673D333-8644-46A6-A506-A1D964C96922}</x14:id>
        </ext>
      </extLst>
    </cfRule>
  </conditionalFormatting>
  <conditionalFormatting sqref="S11">
    <cfRule type="containsText" dxfId="5" priority="24" operator="containsText" text="Hedefin Tamamlanmamıştır">
      <formula>NOT(ISERROR(SEARCH("Hedefin Tamamlanmamıştır",S11)))</formula>
    </cfRule>
    <cfRule type="containsText" dxfId="4" priority="25" operator="containsText" text="Hedefine ulaştın">
      <formula>NOT(ISERROR(SEARCH("Hedefine ulaştın",S11)))</formula>
    </cfRule>
  </conditionalFormatting>
  <conditionalFormatting sqref="V10:V11">
    <cfRule type="iconSet" priority="8">
      <iconSet iconSet="3Symbols2">
        <cfvo type="percent" val="0"/>
        <cfvo type="num" val="60"/>
        <cfvo type="num" val="90"/>
      </iconSet>
    </cfRule>
  </conditionalFormatting>
  <conditionalFormatting sqref="Z10 AC10">
    <cfRule type="containsText" dxfId="3" priority="23" operator="containsText" text="Yetirince Su içmemektir">
      <formula>NOT(ISERROR(SEARCH("Yetirince Su içmemektir",Z10)))</formula>
    </cfRule>
    <cfRule type="containsText" dxfId="2" priority="22" operator="containsText" text="Yetirince Su içtin">
      <formula>NOT(ISERROR(SEARCH("Yetirince Su içtin",Z10)))</formula>
    </cfRule>
  </conditionalFormatting>
  <conditionalFormatting sqref="Z11">
    <cfRule type="containsText" dxfId="1" priority="21" operator="containsText" text="Hedefin Tamamlanmamıştır">
      <formula>NOT(ISERROR(SEARCH("Hedefin Tamamlanmamıştır",Z11)))</formula>
    </cfRule>
    <cfRule type="containsText" dxfId="0" priority="20" operator="containsText" text="Hedefine ulaştın">
      <formula>NOT(ISERROR(SEARCH("Hedefine ulaştın",Z11)))</formula>
    </cfRule>
  </conditionalFormatting>
  <conditionalFormatting sqref="AC10:AC11">
    <cfRule type="iconSet" priority="7">
      <iconSet iconSet="3Symbols2">
        <cfvo type="percent" val="0"/>
        <cfvo type="num" val="60"/>
        <cfvo type="num" val="90"/>
      </iconSet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BEB9FAC-ECBC-4373-A11F-E302486676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A15:A20 A13</xm:sqref>
        </x14:conditionalFormatting>
        <x14:conditionalFormatting xmlns:xm="http://schemas.microsoft.com/office/excel/2006/main">
          <x14:cfRule type="dataBar" id="{A55B14AD-9905-420B-87F2-C4B05484FB54}">
            <x14:dataBar minLength="0" maxLength="100" gradient="0">
              <x14:cfvo type="num">
                <xm:f>0</xm:f>
              </x14:cfvo>
              <x14:cfvo type="num">
                <xm:f>12</xm:f>
              </x14:cfvo>
              <x14:negativeFillColor rgb="FFFF0000"/>
              <x14:axisColor rgb="FF000000"/>
            </x14:dataBar>
          </x14:cfRule>
          <xm:sqref>C5:G5</xm:sqref>
        </x14:conditionalFormatting>
        <x14:conditionalFormatting xmlns:xm="http://schemas.microsoft.com/office/excel/2006/main">
          <x14:cfRule type="dataBar" id="{F041C5AF-BDE7-48DD-A052-A10D831EEE2A}">
            <x14:dataBar minLength="0" maxLength="100" gradient="0">
              <x14:cfvo type="num">
                <xm:f>0</xm:f>
              </x14:cfvo>
              <x14:cfvo type="num">
                <xm:f>4</xm:f>
              </x14:cfvo>
              <x14:negativeFillColor rgb="FFFF0000"/>
              <x14:axisColor rgb="FF000000"/>
            </x14:dataBar>
          </x14:cfRule>
          <x14:cfRule type="dataBar" id="{13C50E41-8568-4FC9-9DC8-1D008DC43EC5}">
            <x14:dataBar minLength="0" maxLength="100" gradient="0">
              <x14:cfvo type="num">
                <xm:f>0</xm:f>
              </x14:cfvo>
              <x14:cfvo type="num">
                <xm:f>36</xm:f>
              </x14:cfvo>
              <x14:negativeFillColor rgb="FFFF0000"/>
              <x14:axisColor rgb="FF000000"/>
            </x14:dataBar>
          </x14:cfRule>
          <xm:sqref>C7:G7</xm:sqref>
        </x14:conditionalFormatting>
        <x14:conditionalFormatting xmlns:xm="http://schemas.microsoft.com/office/excel/2006/main">
          <x14:cfRule type="dataBar" id="{0DEF99B4-5A38-46BB-97FB-9A451845660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J15:L20 U15:W20</xm:sqref>
        </x14:conditionalFormatting>
        <x14:conditionalFormatting xmlns:xm="http://schemas.microsoft.com/office/excel/2006/main">
          <x14:cfRule type="dataBar" id="{B79191A8-7BB7-46DA-954A-7636EFA6D0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K24</xm:sqref>
        </x14:conditionalFormatting>
        <x14:conditionalFormatting xmlns:xm="http://schemas.microsoft.com/office/excel/2006/main">
          <x14:cfRule type="dataBar" id="{27AB3885-0817-4E6B-9D1A-5A77DA1382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K25</xm:sqref>
        </x14:conditionalFormatting>
        <x14:conditionalFormatting xmlns:xm="http://schemas.microsoft.com/office/excel/2006/main">
          <x14:cfRule type="dataBar" id="{1673D333-8644-46A6-A506-A1D964C9692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O15:Q20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77300</dc:creator>
  <cp:lastModifiedBy>77300</cp:lastModifiedBy>
  <dcterms:created xsi:type="dcterms:W3CDTF">2026-01-20T22:45:25Z</dcterms:created>
  <dcterms:modified xsi:type="dcterms:W3CDTF">2026-01-31T19:50:16Z</dcterms:modified>
</cp:coreProperties>
</file>