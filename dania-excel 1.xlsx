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9.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0.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3.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4.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drawings/drawing8.xml" ContentType="application/vnd.openxmlformats-officedocument.drawing+xml"/>
  <Override PartName="/xl/timelines/timeline2.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9.xml" ContentType="application/vnd.openxmlformats-officedocument.drawing+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Excel\"/>
    </mc:Choice>
  </mc:AlternateContent>
  <xr:revisionPtr revIDLastSave="0" documentId="13_ncr:1_{A408DA4C-DD41-49B8-B4AE-5FB5FD2B652F}" xr6:coauthVersionLast="47" xr6:coauthVersionMax="47" xr10:uidLastSave="{00000000-0000-0000-0000-000000000000}"/>
  <bookViews>
    <workbookView xWindow="-108" yWindow="-108" windowWidth="23256" windowHeight="12456" firstSheet="9" activeTab="13" xr2:uid="{6168304A-EC23-4368-88B4-BA30FF6DB94B}"/>
  </bookViews>
  <sheets>
    <sheet name="Sheet2" sheetId="3" r:id="rId1"/>
    <sheet name="dania" sheetId="18" r:id="rId2"/>
    <sheet name="fadel" sheetId="17" r:id="rId3"/>
    <sheet name="lama" sheetId="16" r:id="rId4"/>
    <sheet name="lana" sheetId="15" r:id="rId5"/>
    <sheet name="mazen" sheetId="14" r:id="rId6"/>
    <sheet name="mert" sheetId="13" r:id="rId7"/>
    <sheet name="rania" sheetId="12" r:id="rId8"/>
    <sheet name="Detail1" sheetId="19" r:id="rId9"/>
    <sheet name="Detail3" sheetId="21" r:id="rId10"/>
    <sheet name="Detail2" sheetId="23" r:id="rId11"/>
    <sheet name="Detail4" sheetId="24" r:id="rId12"/>
    <sheet name="Sheet3" sheetId="11" r:id="rId13"/>
    <sheet name="Sheet1" sheetId="1" r:id="rId14"/>
    <sheet name="sales of customers" sheetId="5" r:id="rId15"/>
    <sheet name="sales by customers types" sheetId="6" r:id="rId16"/>
    <sheet name="control " sheetId="10" r:id="rId17"/>
    <sheet name="sales by city" sheetId="7" r:id="rId18"/>
    <sheet name="sales by the jewelry" sheetId="8" r:id="rId19"/>
    <sheet name="trend by the sales" sheetId="9" r:id="rId20"/>
    <sheet name="pivot tables" sheetId="4" r:id="rId21"/>
    <sheet name="database" sheetId="2" r:id="rId22"/>
  </sheets>
  <definedNames>
    <definedName name="_xlnm._FilterDatabase" localSheetId="13" hidden="1">Sheet1!$S$5:$W$12</definedName>
    <definedName name="_xlcn.WorksheetConnection_daniaexcel1.xlsxMainTable1" hidden="1">MainTable[]</definedName>
    <definedName name="_xlcn.WorksheetConnection_daniaexcel1.xlsxSmallTable1" hidden="1">SmallTable[]</definedName>
    <definedName name="_xlcn.WorksheetConnection_Sheet1J5N121" hidden="1">Sheet1!$S$5:$W$12</definedName>
    <definedName name="_xlnm.Extract" localSheetId="13">Sheet1!$L$5:$L$14</definedName>
    <definedName name="NativeTimeline_Date">#N/A</definedName>
    <definedName name="Slicer_City">#N/A</definedName>
    <definedName name="Slicer_City1">#N/A</definedName>
    <definedName name="Slicer_Customers">#N/A</definedName>
    <definedName name="Slicer_Customers1">#N/A</definedName>
    <definedName name="Slicer_Customers2">#N/A</definedName>
    <definedName name="Timeline_Date">#N/A</definedName>
  </definedNames>
  <calcPr calcId="191029"/>
  <pivotCaches>
    <pivotCache cacheId="4" r:id="rId23"/>
    <pivotCache cacheId="5" r:id="rId24"/>
    <pivotCache cacheId="6" r:id="rId25"/>
    <pivotCache cacheId="7" r:id="rId26"/>
    <pivotCache cacheId="8" r:id="rId27"/>
    <pivotCache cacheId="9" r:id="rId28"/>
    <pivotCache cacheId="10" r:id="rId29"/>
    <pivotCache cacheId="11" r:id="rId30"/>
    <pivotCache cacheId="12" r:id="rId31"/>
    <pivotCache cacheId="13" r:id="rId32"/>
  </pivotCaches>
  <extLst>
    <ext xmlns:x14="http://schemas.microsoft.com/office/spreadsheetml/2009/9/main" uri="{876F7934-8845-4945-9796-88D515C7AA90}">
      <x14:pivotCaches>
        <pivotCache cacheId="14" r:id="rId33"/>
        <pivotCache cacheId="15" r:id="rId34"/>
        <pivotCache cacheId="16" r:id="rId35"/>
      </x14:pivotCaches>
    </ext>
    <ext xmlns:x14="http://schemas.microsoft.com/office/spreadsheetml/2009/9/main" uri="{BBE1A952-AA13-448e-AADC-164F8A28A991}">
      <x14:slicerCaches>
        <x14:slicerCache r:id="rId36"/>
        <x14:slicerCache r:id="rId37"/>
        <x14:slicerCache r:id="rId38"/>
        <x14:slicerCache r:id="rId39"/>
        <x14:slicerCache r:id="rId4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7" r:id="rId41"/>
      </x15:timelineCachePivotCaches>
    </ext>
    <ext xmlns:x15="http://schemas.microsoft.com/office/spreadsheetml/2010/11/main" uri="{D0CA8CA8-9F24-4464-BF8E-62219DCF47F9}">
      <x15:timelineCacheRefs>
        <x15:timelineCacheRef r:id="rId42"/>
        <x15:timelineCacheRef r:id="rId4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J$5:$N$12"/>
          <x15:modelTable id="SmallTable" name="SmallTable" connection="WorksheetConnection_dania-excel 1.xlsx!SmallTable"/>
          <x15:modelTable id="MainTable" name="MainTable" connection="WorksheetConnection_dania-excel 1.xlsx!MainTable"/>
        </x15:modelTables>
        <x15:modelRelationships>
          <x15:modelRelationship fromTable="MainTable" fromColumn="Customers" toTable="SmallTable" toColumn="Customers"/>
        </x15:modelRelationships>
        <x15:extLst>
          <ext xmlns:x16="http://schemas.microsoft.com/office/spreadsheetml/2014/11/main" uri="{9835A34E-60A6-4A7C-AAB8-D5F71C897F49}">
            <x16:modelTimeGroupings>
              <x16:modelTimeGrouping tableName="MainTable" columnName="Date" columnId="Date">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calculatedTimeColumn columnName="Date (Hour)" columnId="Date (Hour)" contentType="hour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1" l="1"/>
  <c r="N7" i="1"/>
  <c r="P7" i="1"/>
  <c r="O7" i="1"/>
  <c r="O6" i="1"/>
  <c r="P6" i="1"/>
  <c r="W7" i="1"/>
  <c r="W8" i="1"/>
  <c r="W9" i="1"/>
  <c r="W10" i="1"/>
  <c r="W11" i="1"/>
  <c r="W12" i="1"/>
  <c r="W6" i="1"/>
  <c r="J6" i="1"/>
  <c r="J7" i="1"/>
  <c r="J8" i="1"/>
  <c r="J9" i="1"/>
  <c r="J10" i="1"/>
  <c r="J11" i="1"/>
  <c r="J12" i="1"/>
  <c r="J13" i="1"/>
  <c r="J14" i="1"/>
  <c r="J15" i="1"/>
  <c r="J16" i="1"/>
  <c r="J17" i="1"/>
  <c r="J18" i="1"/>
  <c r="J19" i="1"/>
  <c r="I6" i="1"/>
  <c r="I7" i="1"/>
  <c r="I8" i="1"/>
  <c r="I9" i="1"/>
  <c r="I10" i="1"/>
  <c r="I11" i="1"/>
  <c r="I12" i="1"/>
  <c r="I13" i="1"/>
  <c r="I14" i="1"/>
  <c r="I15" i="1"/>
  <c r="I16" i="1"/>
  <c r="I17" i="1"/>
  <c r="I18" i="1"/>
  <c r="I19" i="1"/>
  <c r="H20" i="1"/>
  <c r="D20" i="1"/>
  <c r="F19" i="1"/>
  <c r="F18" i="1"/>
  <c r="F17" i="1"/>
  <c r="F16" i="1"/>
  <c r="F15" i="1"/>
  <c r="F14" i="1"/>
  <c r="F13" i="1"/>
  <c r="S11" i="1"/>
  <c r="U11" i="1" s="1"/>
  <c r="F12" i="1"/>
  <c r="F11" i="1"/>
  <c r="S8" i="1" s="1"/>
  <c r="U8" i="1" s="1"/>
  <c r="F10" i="1"/>
  <c r="F9" i="1"/>
  <c r="S7" i="1" s="1"/>
  <c r="F8" i="1"/>
  <c r="F7" i="1"/>
  <c r="S6" i="1" s="1"/>
  <c r="F6" i="1"/>
  <c r="S10" i="1" s="1"/>
  <c r="U10" i="1" s="1"/>
  <c r="U6" i="1" l="1"/>
  <c r="U7" i="1"/>
  <c r="F20" i="1"/>
  <c r="S9" i="1"/>
  <c r="U9" i="1" s="1"/>
  <c r="S12" i="1"/>
  <c r="U12" i="1" s="1"/>
  <c r="V8" i="1" l="1"/>
  <c r="V6" i="1"/>
  <c r="V7" i="1"/>
  <c r="V12" i="1"/>
  <c r="V9" i="1"/>
  <c r="V10" i="1"/>
  <c r="V1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2C46EE-4C0D-4DAE-8211-D133DC7FED8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43D1CF0-5D16-48D3-AEFE-769C7A67860A}" name="WorksheetConnection_dania-excel 1.xlsx!MainTable" type="102" refreshedVersion="8" minRefreshableVersion="5">
    <extLst>
      <ext xmlns:x15="http://schemas.microsoft.com/office/spreadsheetml/2010/11/main" uri="{DE250136-89BD-433C-8126-D09CA5730AF9}">
        <x15:connection id="MainTable" autoDelete="1">
          <x15:rangePr sourceName="_xlcn.WorksheetConnection_daniaexcel1.xlsxMainTable1"/>
        </x15:connection>
      </ext>
    </extLst>
  </connection>
  <connection id="3" xr16:uid="{09CC394D-0D75-4958-B465-FBFAF15216E3}" name="WorksheetConnection_dania-excel 1.xlsx!SmallTable" type="102" refreshedVersion="8" minRefreshableVersion="5">
    <extLst>
      <ext xmlns:x15="http://schemas.microsoft.com/office/spreadsheetml/2010/11/main" uri="{DE250136-89BD-433C-8126-D09CA5730AF9}">
        <x15:connection id="SmallTable" autoDelete="1">
          <x15:rangePr sourceName="_xlcn.WorksheetConnection_daniaexcel1.xlsxSmallTable1"/>
        </x15:connection>
      </ext>
    </extLst>
  </connection>
  <connection id="4" xr16:uid="{F7111E91-C0E4-4B62-AC96-E1DDDDBAFBB5}" name="WorksheetConnection_Sheet1!$J$5:$N$12" type="102" refreshedVersion="8" minRefreshableVersion="5">
    <extLst>
      <ext xmlns:x15="http://schemas.microsoft.com/office/spreadsheetml/2010/11/main" uri="{DE250136-89BD-433C-8126-D09CA5730AF9}">
        <x15:connection id="Range" autoDelete="1">
          <x15:rangePr sourceName="_xlcn.WorksheetConnection_Sheet1J5N121"/>
        </x15:connection>
      </ext>
    </extLst>
  </connection>
</connections>
</file>

<file path=xl/sharedStrings.xml><?xml version="1.0" encoding="utf-8"?>
<sst xmlns="http://schemas.openxmlformats.org/spreadsheetml/2006/main" count="356" uniqueCount="55">
  <si>
    <t>Customers</t>
  </si>
  <si>
    <t>Type of customer</t>
  </si>
  <si>
    <t>The price</t>
  </si>
  <si>
    <t>Date</t>
  </si>
  <si>
    <t>City</t>
  </si>
  <si>
    <t>dania</t>
  </si>
  <si>
    <t>rania</t>
  </si>
  <si>
    <t>lana</t>
  </si>
  <si>
    <t>lama</t>
  </si>
  <si>
    <t>mert</t>
  </si>
  <si>
    <t>mazen</t>
  </si>
  <si>
    <t>fadel</t>
  </si>
  <si>
    <t>Type of sale</t>
  </si>
  <si>
    <t>necklace</t>
  </si>
  <si>
    <t>ring</t>
  </si>
  <si>
    <t>wristband</t>
  </si>
  <si>
    <t>sunglasses</t>
  </si>
  <si>
    <t>istanbul</t>
  </si>
  <si>
    <t>berlin</t>
  </si>
  <si>
    <t>london</t>
  </si>
  <si>
    <t>dubi</t>
  </si>
  <si>
    <t>egybt</t>
  </si>
  <si>
    <t>the tax</t>
  </si>
  <si>
    <t>Net profit</t>
  </si>
  <si>
    <t>Total sales</t>
  </si>
  <si>
    <t>percentage of sales</t>
  </si>
  <si>
    <t>egypt</t>
  </si>
  <si>
    <t>Customer</t>
  </si>
  <si>
    <t>Customers Names</t>
  </si>
  <si>
    <t>Customer statistics</t>
  </si>
  <si>
    <t>Total</t>
  </si>
  <si>
    <t>Row Labels</t>
  </si>
  <si>
    <t>Grand Total</t>
  </si>
  <si>
    <t>Sum of Total sales</t>
  </si>
  <si>
    <t>Good Customer</t>
  </si>
  <si>
    <t>Normal Customer</t>
  </si>
  <si>
    <t>Column Labels</t>
  </si>
  <si>
    <t>Sum of The price</t>
  </si>
  <si>
    <t>Sum of percentage of sales</t>
  </si>
  <si>
    <t>Type of the jewelry</t>
  </si>
  <si>
    <t>Gold</t>
  </si>
  <si>
    <t>Diamond</t>
  </si>
  <si>
    <t>Sum of Net profit</t>
  </si>
  <si>
    <t>collection date</t>
  </si>
  <si>
    <t>Number of days remaining</t>
  </si>
  <si>
    <t>Type of sales</t>
  </si>
  <si>
    <t>(All)</t>
  </si>
  <si>
    <t>Details for Sum of Net profit - Date: 1/7/2025, Customers: dania (+)</t>
  </si>
  <si>
    <t>Details for Sum of Net profit - Customers: dania (+)</t>
  </si>
  <si>
    <t>Details for Sum of Net profit - Date: 1/1/2025, Customers: dania (+)</t>
  </si>
  <si>
    <t>Details for Sum of Net profit - Type of sale: necklace, Customers: dania (+)</t>
  </si>
  <si>
    <t>Sum of Net profit2</t>
  </si>
  <si>
    <t>Sum of HandMade</t>
  </si>
  <si>
    <t>High customer</t>
  </si>
  <si>
    <t>Low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</si>
</sst>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5" formatCode="&quot;₺&quot;#,##0.00"/>
  </numFmts>
  <fonts count="9" x14ac:knownFonts="1">
    <font>
      <sz val="11"/>
      <color theme="1"/>
      <name val="Aptos Narrow"/>
      <family val="2"/>
      <charset val="162"/>
      <scheme val="minor"/>
    </font>
    <font>
      <sz val="11"/>
      <color rgb="FF002060"/>
      <name val="Aptos Narrow"/>
      <family val="2"/>
      <charset val="162"/>
      <scheme val="minor"/>
    </font>
    <font>
      <sz val="11"/>
      <color theme="8" tint="-0.249977111117893"/>
      <name val="Aptos Narrow"/>
      <family val="2"/>
      <charset val="162"/>
      <scheme val="minor"/>
    </font>
    <font>
      <sz val="11"/>
      <color rgb="FFFF0000"/>
      <name val="Aptos Narrow"/>
      <family val="2"/>
      <charset val="162"/>
      <scheme val="minor"/>
    </font>
    <font>
      <sz val="26"/>
      <color theme="5" tint="-0.249977111117893"/>
      <name val="Baskerville Old Face"/>
      <family val="1"/>
    </font>
    <font>
      <sz val="26"/>
      <color theme="5" tint="-0.249977111117893"/>
      <name val="Bahnschrift SemiBold"/>
      <family val="2"/>
    </font>
    <font>
      <sz val="11"/>
      <color rgb="FF7030A0"/>
      <name val="Aptos Narrow"/>
      <family val="2"/>
      <charset val="162"/>
      <scheme val="minor"/>
    </font>
    <font>
      <sz val="11"/>
      <color theme="3"/>
      <name val="Aptos Narrow"/>
      <family val="2"/>
      <charset val="162"/>
      <scheme val="minor"/>
    </font>
    <font>
      <b/>
      <sz val="11"/>
      <color theme="1"/>
      <name val="Aptos Narrow"/>
      <family val="2"/>
      <charset val="162"/>
      <scheme val="minor"/>
    </font>
  </fonts>
  <fills count="7">
    <fill>
      <patternFill patternType="none"/>
    </fill>
    <fill>
      <patternFill patternType="gray125"/>
    </fill>
    <fill>
      <patternFill patternType="solid">
        <fgColor theme="5" tint="0.59999389629810485"/>
        <bgColor indexed="64"/>
      </patternFill>
    </fill>
    <fill>
      <patternFill patternType="solid">
        <fgColor theme="7" tint="0.79998168889431442"/>
        <bgColor indexed="64"/>
      </patternFill>
    </fill>
    <fill>
      <patternFill patternType="solid">
        <fgColor rgb="FFFFFF00"/>
        <bgColor indexed="64"/>
      </patternFill>
    </fill>
    <fill>
      <patternFill patternType="solid">
        <fgColor theme="3" tint="0.89999084444715716"/>
        <bgColor indexed="64"/>
      </patternFill>
    </fill>
    <fill>
      <patternFill patternType="solid">
        <fgColor theme="8" tint="0.59999389629810485"/>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style="thin">
        <color indexed="64"/>
      </top>
      <bottom/>
      <diagonal/>
    </border>
    <border>
      <left/>
      <right/>
      <top/>
      <bottom style="thin">
        <color indexed="64"/>
      </bottom>
      <diagonal/>
    </border>
  </borders>
  <cellStyleXfs count="1">
    <xf numFmtId="0" fontId="0" fillId="0" borderId="0"/>
  </cellStyleXfs>
  <cellXfs count="73">
    <xf numFmtId="0" fontId="0" fillId="0" borderId="0" xfId="0"/>
    <xf numFmtId="0" fontId="0" fillId="0" borderId="1" xfId="0" applyBorder="1"/>
    <xf numFmtId="14" fontId="0" fillId="0" borderId="1" xfId="0" applyNumberFormat="1" applyBorder="1"/>
    <xf numFmtId="164" fontId="0" fillId="0" borderId="1" xfId="0" applyNumberFormat="1" applyBorder="1"/>
    <xf numFmtId="164" fontId="0" fillId="0" borderId="1" xfId="0" applyNumberFormat="1" applyBorder="1" applyAlignment="1">
      <alignment horizontal="right" indent="7"/>
    </xf>
    <xf numFmtId="164" fontId="0" fillId="0" borderId="1" xfId="0" applyNumberFormat="1" applyBorder="1" applyAlignment="1">
      <alignment horizontal="right" indent="6"/>
    </xf>
    <xf numFmtId="164" fontId="2" fillId="0" borderId="1" xfId="0" applyNumberFormat="1" applyFont="1" applyBorder="1"/>
    <xf numFmtId="0" fontId="0" fillId="0" borderId="1" xfId="0" applyBorder="1" applyAlignment="1">
      <alignment horizontal="center"/>
    </xf>
    <xf numFmtId="0" fontId="3" fillId="4" borderId="1" xfId="0" applyFont="1" applyFill="1" applyBorder="1"/>
    <xf numFmtId="10" fontId="0" fillId="0" borderId="1" xfId="0" applyNumberFormat="1" applyBorder="1"/>
    <xf numFmtId="164" fontId="0" fillId="0" borderId="2" xfId="0" applyNumberFormat="1" applyBorder="1"/>
    <xf numFmtId="10"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3" xfId="0" applyBorder="1"/>
    <xf numFmtId="9" fontId="0" fillId="0" borderId="4" xfId="0" applyNumberFormat="1" applyBorder="1"/>
    <xf numFmtId="9" fontId="0" fillId="0" borderId="4" xfId="0" applyNumberFormat="1" applyBorder="1" applyAlignment="1">
      <alignment horizontal="right"/>
    </xf>
    <xf numFmtId="0" fontId="1" fillId="2" borderId="5" xfId="0" applyFont="1" applyFill="1" applyBorder="1"/>
    <xf numFmtId="0" fontId="1" fillId="2" borderId="6" xfId="0" applyFont="1" applyFill="1" applyBorder="1" applyAlignment="1">
      <alignment horizontal="right" indent="3"/>
    </xf>
    <xf numFmtId="0" fontId="1" fillId="2" borderId="6" xfId="0" applyFont="1" applyFill="1" applyBorder="1"/>
    <xf numFmtId="0" fontId="1" fillId="2" borderId="7" xfId="0" applyFont="1" applyFill="1" applyBorder="1" applyAlignment="1">
      <alignment horizontal="right" indent="7"/>
    </xf>
    <xf numFmtId="0" fontId="0" fillId="0" borderId="8" xfId="0" applyBorder="1"/>
    <xf numFmtId="0" fontId="0" fillId="0" borderId="9" xfId="0" applyBorder="1" applyAlignment="1">
      <alignment horizontal="center"/>
    </xf>
    <xf numFmtId="164" fontId="0" fillId="0" borderId="9" xfId="0" applyNumberFormat="1" applyBorder="1" applyAlignment="1">
      <alignment horizontal="right" indent="6"/>
    </xf>
    <xf numFmtId="14" fontId="0" fillId="0" borderId="9" xfId="0" applyNumberFormat="1" applyBorder="1"/>
    <xf numFmtId="164" fontId="0" fillId="0" borderId="9" xfId="0" applyNumberFormat="1" applyBorder="1"/>
    <xf numFmtId="0" fontId="0" fillId="0" borderId="9" xfId="0" applyBorder="1"/>
    <xf numFmtId="9" fontId="0" fillId="0" borderId="10" xfId="0" applyNumberFormat="1" applyBorder="1"/>
    <xf numFmtId="0" fontId="0" fillId="0" borderId="4" xfId="0" applyBorder="1"/>
    <xf numFmtId="0" fontId="2" fillId="3" borderId="5" xfId="0" applyFont="1" applyFill="1" applyBorder="1"/>
    <xf numFmtId="0" fontId="2" fillId="3" borderId="6" xfId="0" applyFont="1" applyFill="1" applyBorder="1"/>
    <xf numFmtId="164" fontId="2" fillId="0" borderId="9" xfId="0" applyNumberFormat="1" applyFont="1" applyBorder="1"/>
    <xf numFmtId="0" fontId="0" fillId="0" borderId="0" xfId="0" applyAlignment="1">
      <alignment horizontal="right"/>
    </xf>
    <xf numFmtId="0" fontId="0" fillId="0" borderId="0" xfId="0" applyAlignment="1">
      <alignment horizontal="right" indent="1"/>
    </xf>
    <xf numFmtId="0" fontId="0" fillId="0" borderId="0" xfId="0" applyAlignment="1">
      <alignment horizontal="right" indent="2"/>
    </xf>
    <xf numFmtId="0" fontId="6" fillId="3" borderId="6" xfId="0" applyFont="1" applyFill="1" applyBorder="1"/>
    <xf numFmtId="0" fontId="6" fillId="3" borderId="7" xfId="0" applyFont="1" applyFill="1" applyBorder="1"/>
    <xf numFmtId="0" fontId="7" fillId="2" borderId="6" xfId="0" applyFont="1" applyFill="1" applyBorder="1"/>
    <xf numFmtId="0" fontId="7" fillId="2" borderId="3" xfId="0" applyFont="1" applyFill="1" applyBorder="1" applyAlignment="1">
      <alignment horizontal="right" indent="1"/>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14" fontId="0" fillId="0" borderId="0" xfId="0" applyNumberFormat="1" applyAlignment="1">
      <alignment horizontal="right"/>
    </xf>
    <xf numFmtId="0" fontId="1" fillId="2" borderId="21" xfId="0" applyFont="1" applyFill="1" applyBorder="1" applyAlignment="1">
      <alignment horizontal="right" indent="7"/>
    </xf>
    <xf numFmtId="14" fontId="0" fillId="0" borderId="4" xfId="0" applyNumberFormat="1" applyBorder="1"/>
    <xf numFmtId="14" fontId="0" fillId="0" borderId="4" xfId="0" applyNumberFormat="1" applyBorder="1" applyAlignment="1">
      <alignment horizontal="right"/>
    </xf>
    <xf numFmtId="14" fontId="0" fillId="0" borderId="10" xfId="0" applyNumberFormat="1" applyBorder="1"/>
    <xf numFmtId="0" fontId="1" fillId="2" borderId="21" xfId="0" applyFont="1" applyFill="1" applyBorder="1" applyAlignment="1">
      <alignment horizontal="right"/>
    </xf>
    <xf numFmtId="2" fontId="0" fillId="0" borderId="4" xfId="0" applyNumberFormat="1" applyBorder="1"/>
    <xf numFmtId="2" fontId="0" fillId="0" borderId="4" xfId="0" applyNumberFormat="1" applyBorder="1" applyAlignment="1">
      <alignment horizontal="right"/>
    </xf>
    <xf numFmtId="2" fontId="0" fillId="0" borderId="10" xfId="0" applyNumberFormat="1" applyBorder="1"/>
    <xf numFmtId="0" fontId="0" fillId="2" borderId="1" xfId="0" applyFill="1" applyBorder="1"/>
    <xf numFmtId="0" fontId="0" fillId="6" borderId="1" xfId="0" applyFill="1" applyBorder="1"/>
    <xf numFmtId="164" fontId="0" fillId="0" borderId="0" xfId="0" applyNumberFormat="1"/>
    <xf numFmtId="14" fontId="0" fillId="0" borderId="0" xfId="0" applyNumberFormat="1" applyAlignment="1">
      <alignment horizontal="right" indent="1"/>
    </xf>
    <xf numFmtId="14" fontId="0" fillId="0" borderId="0" xfId="0" applyNumberFormat="1"/>
    <xf numFmtId="14" fontId="0" fillId="0" borderId="0" xfId="0" applyNumberFormat="1" applyAlignment="1">
      <alignment horizontal="left"/>
    </xf>
    <xf numFmtId="0" fontId="0" fillId="0" borderId="0" xfId="0" applyAlignment="1">
      <alignment horizontal="left" indent="1"/>
    </xf>
    <xf numFmtId="0" fontId="8" fillId="0" borderId="0" xfId="0" applyFont="1"/>
    <xf numFmtId="0" fontId="5" fillId="5" borderId="0" xfId="0" applyFont="1" applyFill="1" applyAlignment="1">
      <alignment horizontal="center" vertical="center"/>
    </xf>
    <xf numFmtId="0" fontId="4" fillId="5" borderId="10" xfId="0" applyFont="1" applyFill="1" applyBorder="1" applyAlignment="1">
      <alignment horizontal="center"/>
    </xf>
    <xf numFmtId="0" fontId="4" fillId="5" borderId="20" xfId="0" applyFont="1" applyFill="1" applyBorder="1" applyAlignment="1">
      <alignment horizontal="center"/>
    </xf>
    <xf numFmtId="0" fontId="4" fillId="5" borderId="8" xfId="0" applyFont="1" applyFill="1" applyBorder="1" applyAlignment="1">
      <alignment horizontal="center"/>
    </xf>
    <xf numFmtId="0" fontId="4" fillId="5" borderId="7" xfId="0" applyFont="1" applyFill="1" applyBorder="1" applyAlignment="1">
      <alignment horizontal="center"/>
    </xf>
    <xf numFmtId="0" fontId="4" fillId="5" borderId="21" xfId="0" applyFont="1" applyFill="1" applyBorder="1" applyAlignment="1">
      <alignment horizontal="center"/>
    </xf>
    <xf numFmtId="0" fontId="4" fillId="5" borderId="5" xfId="0" applyFont="1" applyFill="1" applyBorder="1" applyAlignment="1">
      <alignment horizontal="center"/>
    </xf>
  </cellXfs>
  <cellStyles count="1">
    <cellStyle name="Normal" xfId="0" builtinId="0"/>
  </cellStyles>
  <dxfs count="32">
    <dxf>
      <numFmt numFmtId="0" formatCode="General"/>
    </dxf>
    <dxf>
      <border diagonalUp="0" diagonalDown="0">
        <left style="thin">
          <color indexed="64"/>
        </left>
        <right/>
        <top style="thin">
          <color indexed="64"/>
        </top>
        <bottom style="thin">
          <color indexed="64"/>
        </bottom>
        <vertical/>
        <horizontal/>
      </border>
    </dxf>
    <dxf>
      <numFmt numFmtId="14" formatCode="0.00%"/>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font>
        <color theme="8" tint="-0.249977111117893"/>
      </font>
      <numFmt numFmtId="164" formatCode="[$$-409]#,##0.0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8" tint="-0.249977111117893"/>
        <name val="Aptos Narrow"/>
        <family val="2"/>
        <charset val="162"/>
        <scheme val="minor"/>
      </font>
      <numFmt numFmtId="164" formatCode="[$$-409]#,##0.0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7" tint="0.79998168889431442"/>
        </patternFill>
      </fill>
      <border diagonalUp="0" diagonalDown="0" outline="0">
        <left style="thin">
          <color indexed="64"/>
        </left>
        <right style="thin">
          <color indexed="64"/>
        </right>
        <top/>
        <bottom/>
      </border>
    </dxf>
    <dxf>
      <border diagonalUp="0" diagonalDown="0" outline="0">
        <left/>
        <right style="thin">
          <color indexed="64"/>
        </right>
        <top style="thin">
          <color indexed="64"/>
        </top>
        <bottom style="thin">
          <color indexed="64"/>
        </bottom>
      </border>
    </dxf>
    <dxf>
      <numFmt numFmtId="2" formatCode="0.00"/>
      <border diagonalUp="0" diagonalDown="0" outline="0">
        <left style="thin">
          <color indexed="64"/>
        </left>
        <right/>
        <top style="thin">
          <color indexed="64"/>
        </top>
        <bottom style="thin">
          <color indexed="64"/>
        </bottom>
      </border>
    </dxf>
    <dxf>
      <numFmt numFmtId="19" formatCode="d/mm/yyyy"/>
      <border diagonalUp="0" diagonalDown="0" outline="0">
        <left style="thin">
          <color indexed="64"/>
        </left>
        <right style="thin">
          <color indexed="64"/>
        </right>
        <top style="thin">
          <color indexed="64"/>
        </top>
        <bottom style="thin">
          <color indexed="64"/>
        </bottom>
      </border>
    </dxf>
    <dxf>
      <numFmt numFmtId="13" formatCode="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409]#,##0.00"/>
      <border diagonalUp="0" diagonalDown="0">
        <left style="thin">
          <color indexed="64"/>
        </left>
        <right style="thin">
          <color indexed="64"/>
        </right>
        <top style="thin">
          <color indexed="64"/>
        </top>
        <bottom style="thin">
          <color indexed="64"/>
        </bottom>
        <vertical/>
        <horizontal/>
      </border>
    </dxf>
    <dxf>
      <numFmt numFmtId="19" formatCode="d/mm/yyyy"/>
      <border diagonalUp="0" diagonalDown="0">
        <left style="thin">
          <color indexed="64"/>
        </left>
        <right style="thin">
          <color indexed="64"/>
        </right>
        <top style="thin">
          <color indexed="64"/>
        </top>
        <bottom style="thin">
          <color indexed="64"/>
        </bottom>
        <vertical/>
        <horizontal/>
      </border>
    </dxf>
    <dxf>
      <numFmt numFmtId="164" formatCode="[$$-409]#,##0.00"/>
      <alignment horizontal="right" vertical="bottom" textRotation="0" wrapText="0" indent="6"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19" formatCode="d/mm/yyyy"/>
    </dxf>
    <dxf>
      <numFmt numFmtId="19" formatCode="d/mm/yyyy"/>
    </dxf>
    <dxf>
      <numFmt numFmtId="19" formatCode="d/mm/yyyy"/>
    </dxf>
    <dxf>
      <numFmt numFmtId="19" formatCode="d/mm/yyyy"/>
    </dxf>
    <dxf>
      <numFmt numFmtId="19" formatCode="d/mm/yyyy"/>
    </dxf>
    <dxf>
      <numFmt numFmtId="19" formatCode="d/mm/yyyy"/>
    </dxf>
    <dxf>
      <numFmt numFmtId="19" formatCode="d/mm/yyyy"/>
    </dxf>
    <dxf>
      <numFmt numFmtId="19" formatCode="d/mm/yyyy"/>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4.xml"/><Relationship Id="rId39" Type="http://schemas.microsoft.com/office/2007/relationships/slicerCache" Target="slicerCaches/slicerCache4.xml"/><Relationship Id="rId21" Type="http://schemas.openxmlformats.org/officeDocument/2006/relationships/worksheet" Target="worksheets/sheet21.xml"/><Relationship Id="rId34" Type="http://schemas.openxmlformats.org/officeDocument/2006/relationships/pivotCacheDefinition" Target="pivotCache/pivotCacheDefinition12.xml"/><Relationship Id="rId42" Type="http://schemas.microsoft.com/office/2011/relationships/timelineCache" Target="timelineCaches/timelineCache1.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7.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pivotCacheDefinition" Target="pivotCache/pivotCacheDefinition10.xml"/><Relationship Id="rId37" Type="http://schemas.microsoft.com/office/2007/relationships/slicerCache" Target="slicerCaches/slicerCache2.xml"/><Relationship Id="rId40" Type="http://schemas.microsoft.com/office/2007/relationships/slicerCache" Target="slicerCaches/slicerCache5.xml"/><Relationship Id="rId45"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pivotCacheDefinition" Target="pivotCache/pivotCacheDefinition6.xml"/><Relationship Id="rId36" Type="http://schemas.microsoft.com/office/2007/relationships/slicerCache" Target="slicerCaches/slicerCache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9.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5.xml"/><Relationship Id="rId30" Type="http://schemas.openxmlformats.org/officeDocument/2006/relationships/pivotCacheDefinition" Target="pivotCache/pivotCacheDefinition8.xml"/><Relationship Id="rId35" Type="http://schemas.openxmlformats.org/officeDocument/2006/relationships/pivotCacheDefinition" Target="pivotCache/pivotCacheDefinition13.xml"/><Relationship Id="rId43" Type="http://schemas.microsoft.com/office/2011/relationships/timelineCache" Target="timelineCaches/timelineCache2.xml"/><Relationship Id="rId48" Type="http://schemas.openxmlformats.org/officeDocument/2006/relationships/powerPivotData" Target="model/item.data"/><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openxmlformats.org/officeDocument/2006/relationships/pivotCacheDefinition" Target="pivotCache/pivotCacheDefinition11.xml"/><Relationship Id="rId38" Type="http://schemas.microsoft.com/office/2007/relationships/slicerCache" Target="slicerCaches/slicerCache3.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pivotCacheDefinition" Target="pivotCache/pivotCacheDefinition14.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[dania-excel 1.xlsx]sales of customers!salesofcustomers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sales</a:t>
            </a:r>
            <a:r>
              <a:rPr lang="tr-TR" baseline="0"/>
              <a:t> of customers</a:t>
            </a:r>
          </a:p>
          <a:p>
            <a:pPr>
              <a:defRPr/>
            </a:pP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of customers'!$B$2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of customers'!$A$3:$A$5</c:f>
              <c:strCache>
                <c:ptCount val="2"/>
                <c:pt idx="0">
                  <c:v>dania</c:v>
                </c:pt>
                <c:pt idx="1">
                  <c:v>mazen</c:v>
                </c:pt>
              </c:strCache>
            </c:strRef>
          </c:cat>
          <c:val>
            <c:numRef>
              <c:f>'sales of customers'!$B$3:$B$5</c:f>
              <c:numCache>
                <c:formatCode>General</c:formatCode>
                <c:ptCount val="2"/>
                <c:pt idx="0">
                  <c:v>149.44999999999999</c:v>
                </c:pt>
                <c:pt idx="1">
                  <c:v>120.96</c:v>
                </c:pt>
              </c:numCache>
            </c:numRef>
          </c:val>
          <c:extLst>
            <c:ext xmlns:c16="http://schemas.microsoft.com/office/drawing/2014/chart" uri="{C3380CC4-5D6E-409C-BE32-E72D297353CC}">
              <c16:uniqueId val="{00000004-FF5D-41B7-B25F-93CA0956E3E7}"/>
            </c:ext>
          </c:extLst>
        </c:ser>
        <c:dLbls>
          <c:dLblPos val="outEnd"/>
          <c:showLegendKey val="0"/>
          <c:showVal val="1"/>
          <c:showCatName val="0"/>
          <c:showSerName val="0"/>
          <c:showPercent val="0"/>
          <c:showBubbleSize val="0"/>
        </c:dLbls>
        <c:gapWidth val="219"/>
        <c:overlap val="-27"/>
        <c:axId val="1365414799"/>
        <c:axId val="1365412399"/>
      </c:barChart>
      <c:catAx>
        <c:axId val="136541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65412399"/>
        <c:crosses val="autoZero"/>
        <c:auto val="1"/>
        <c:lblAlgn val="ctr"/>
        <c:lblOffset val="100"/>
        <c:noMultiLvlLbl val="0"/>
      </c:catAx>
      <c:valAx>
        <c:axId val="136541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65414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[dania-excel 1.xlsx]sales by customers types!salesbycustomerstypes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sales</a:t>
            </a:r>
            <a:r>
              <a:rPr lang="tr-TR" baseline="0"/>
              <a:t> by customers types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tr-TR"/>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customers types'!$B$2</c:f>
              <c:strCache>
                <c:ptCount val="1"/>
                <c:pt idx="0">
                  <c:v>Total</c:v>
                </c:pt>
              </c:strCache>
            </c:strRef>
          </c:tx>
          <c:spPr>
            <a:solidFill>
              <a:schemeClr val="accent1"/>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tr-TR"/>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'sales by customers types'!$A$3:$A$5</c:f>
              <c:strCache>
                <c:ptCount val="2"/>
                <c:pt idx="0">
                  <c:v>Good Customer</c:v>
                </c:pt>
                <c:pt idx="1">
                  <c:v>Normal Customer</c:v>
                </c:pt>
              </c:strCache>
            </c:strRef>
          </c:cat>
          <c:val>
            <c:numRef>
              <c:f>'sales by customers types'!$B$3:$B$5</c:f>
              <c:numCache>
                <c:formatCode>General</c:formatCode>
                <c:ptCount val="2"/>
                <c:pt idx="0">
                  <c:v>120.96</c:v>
                </c:pt>
                <c:pt idx="1">
                  <c:v>149.44999999999999</c:v>
                </c:pt>
              </c:numCache>
            </c:numRef>
          </c:val>
          <c:extLst>
            <c:ext xmlns:c16="http://schemas.microsoft.com/office/drawing/2014/chart" uri="{C3380CC4-5D6E-409C-BE32-E72D297353CC}">
              <c16:uniqueId val="{00000004-4B2A-467C-8C59-2761933A1E03}"/>
            </c:ext>
          </c:extLst>
        </c:ser>
        <c:dLbls>
          <c:showLegendKey val="0"/>
          <c:showVal val="0"/>
          <c:showCatName val="0"/>
          <c:showSerName val="0"/>
          <c:showPercent val="0"/>
          <c:showBubbleSize val="0"/>
        </c:dLbls>
        <c:gapWidth val="150"/>
        <c:shape val="box"/>
        <c:axId val="1365417679"/>
        <c:axId val="1365419599"/>
        <c:axId val="0"/>
      </c:bar3DChart>
      <c:catAx>
        <c:axId val="1365417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65419599"/>
        <c:crosses val="autoZero"/>
        <c:auto val="1"/>
        <c:lblAlgn val="ctr"/>
        <c:lblOffset val="100"/>
        <c:noMultiLvlLbl val="0"/>
      </c:catAx>
      <c:valAx>
        <c:axId val="1365419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6541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[dania-excel 1.xlsx]sales of customers!salesofcustomers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sales</a:t>
            </a:r>
            <a:r>
              <a:rPr lang="tr-TR" baseline="0"/>
              <a:t> of customers</a:t>
            </a:r>
          </a:p>
          <a:p>
            <a:pPr>
              <a:defRPr/>
            </a:pP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of customers'!$B$2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of customers'!$A$3:$A$5</c:f>
              <c:strCache>
                <c:ptCount val="2"/>
                <c:pt idx="0">
                  <c:v>dania</c:v>
                </c:pt>
                <c:pt idx="1">
                  <c:v>mazen</c:v>
                </c:pt>
              </c:strCache>
            </c:strRef>
          </c:cat>
          <c:val>
            <c:numRef>
              <c:f>'sales of customers'!$B$3:$B$5</c:f>
              <c:numCache>
                <c:formatCode>General</c:formatCode>
                <c:ptCount val="2"/>
                <c:pt idx="0">
                  <c:v>149.44999999999999</c:v>
                </c:pt>
                <c:pt idx="1">
                  <c:v>120.96</c:v>
                </c:pt>
              </c:numCache>
            </c:numRef>
          </c:val>
          <c:extLst>
            <c:ext xmlns:c16="http://schemas.microsoft.com/office/drawing/2014/chart" uri="{C3380CC4-5D6E-409C-BE32-E72D297353CC}">
              <c16:uniqueId val="{00000005-21E9-4BB7-8666-F22717ED7B02}"/>
            </c:ext>
          </c:extLst>
        </c:ser>
        <c:dLbls>
          <c:dLblPos val="outEnd"/>
          <c:showLegendKey val="0"/>
          <c:showVal val="1"/>
          <c:showCatName val="0"/>
          <c:showSerName val="0"/>
          <c:showPercent val="0"/>
          <c:showBubbleSize val="0"/>
        </c:dLbls>
        <c:gapWidth val="219"/>
        <c:overlap val="-27"/>
        <c:axId val="1365414799"/>
        <c:axId val="1365412399"/>
      </c:barChart>
      <c:catAx>
        <c:axId val="136541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65412399"/>
        <c:crosses val="autoZero"/>
        <c:auto val="1"/>
        <c:lblAlgn val="ctr"/>
        <c:lblOffset val="100"/>
        <c:noMultiLvlLbl val="0"/>
      </c:catAx>
      <c:valAx>
        <c:axId val="136541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65414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[dania-excel 1.xlsx]sales by customers types!salesbycustomerstypes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sales</a:t>
            </a:r>
            <a:r>
              <a:rPr lang="tr-TR" baseline="0"/>
              <a:t> by customers types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tr-TR"/>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tr-TR"/>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tr-TR"/>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customers types'!$B$2</c:f>
              <c:strCache>
                <c:ptCount val="1"/>
                <c:pt idx="0">
                  <c:v>Total</c:v>
                </c:pt>
              </c:strCache>
            </c:strRef>
          </c:tx>
          <c:spPr>
            <a:solidFill>
              <a:schemeClr val="accent1"/>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tr-TR"/>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'sales by customers types'!$A$3:$A$5</c:f>
              <c:strCache>
                <c:ptCount val="2"/>
                <c:pt idx="0">
                  <c:v>Good Customer</c:v>
                </c:pt>
                <c:pt idx="1">
                  <c:v>Normal Customer</c:v>
                </c:pt>
              </c:strCache>
            </c:strRef>
          </c:cat>
          <c:val>
            <c:numRef>
              <c:f>'sales by customers types'!$B$3:$B$5</c:f>
              <c:numCache>
                <c:formatCode>General</c:formatCode>
                <c:ptCount val="2"/>
                <c:pt idx="0">
                  <c:v>120.96</c:v>
                </c:pt>
                <c:pt idx="1">
                  <c:v>149.44999999999999</c:v>
                </c:pt>
              </c:numCache>
            </c:numRef>
          </c:val>
          <c:extLst>
            <c:ext xmlns:c16="http://schemas.microsoft.com/office/drawing/2014/chart" uri="{C3380CC4-5D6E-409C-BE32-E72D297353CC}">
              <c16:uniqueId val="{00000005-B6DD-4244-9908-13848CF1BE41}"/>
            </c:ext>
          </c:extLst>
        </c:ser>
        <c:dLbls>
          <c:showLegendKey val="0"/>
          <c:showVal val="0"/>
          <c:showCatName val="0"/>
          <c:showSerName val="0"/>
          <c:showPercent val="0"/>
          <c:showBubbleSize val="0"/>
        </c:dLbls>
        <c:gapWidth val="150"/>
        <c:shape val="box"/>
        <c:axId val="1365417679"/>
        <c:axId val="1365419599"/>
        <c:axId val="0"/>
      </c:bar3DChart>
      <c:catAx>
        <c:axId val="1365417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65419599"/>
        <c:crosses val="autoZero"/>
        <c:auto val="1"/>
        <c:lblAlgn val="ctr"/>
        <c:lblOffset val="100"/>
        <c:noMultiLvlLbl val="0"/>
      </c:catAx>
      <c:valAx>
        <c:axId val="1365419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6541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[dania-excel 1.xlsx]sales by city!salesbycity</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tr-TR">
                <a:solidFill>
                  <a:schemeClr val="dk1"/>
                </a:solidFill>
                <a:latin typeface="+mn-lt"/>
                <a:ea typeface="+mn-ea"/>
                <a:cs typeface="+mn-cs"/>
              </a:rPr>
              <a:t>sales by city</a:t>
            </a:r>
          </a:p>
          <a:p>
            <a:pPr>
              <a:defRPr>
                <a:solidFill>
                  <a:schemeClr val="dk1"/>
                </a:solidFill>
              </a:defRPr>
            </a:pPr>
            <a:endParaRPr lang="tr-TR"/>
          </a:p>
        </c:rich>
      </c:tx>
      <c:overlay val="0"/>
      <c:spPr>
        <a:noFill/>
        <a:ln w="19050" cap="flat" cmpd="sng" algn="ctr">
          <a:no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tr-T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'sales by city'!$B$2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58-4982-92D1-6147357772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58-4982-92D1-6147357772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'sales by city'!$A$3:$A$6</c:f>
              <c:multiLvlStrCache>
                <c:ptCount val="2"/>
                <c:lvl>
                  <c:pt idx="0">
                    <c:v>dania</c:v>
                  </c:pt>
                  <c:pt idx="1">
                    <c:v>mazen</c:v>
                  </c:pt>
                </c:lvl>
                <c:lvl>
                  <c:pt idx="0">
                    <c:v>istanbul</c:v>
                  </c:pt>
                </c:lvl>
              </c:multiLvlStrCache>
            </c:multiLvlStrRef>
          </c:cat>
          <c:val>
            <c:numRef>
              <c:f>'sales by city'!$B$3:$B$6</c:f>
              <c:numCache>
                <c:formatCode>General</c:formatCode>
                <c:ptCount val="2"/>
                <c:pt idx="0">
                  <c:v>149.44999999999999</c:v>
                </c:pt>
                <c:pt idx="1">
                  <c:v>120.96</c:v>
                </c:pt>
              </c:numCache>
            </c:numRef>
          </c:val>
          <c:extLst>
            <c:ext xmlns:c16="http://schemas.microsoft.com/office/drawing/2014/chart" uri="{C3380CC4-5D6E-409C-BE32-E72D297353CC}">
              <c16:uniqueId val="{00000009-E93E-493E-9229-F07E7E32E30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[dania-excel 1.xlsx]sales by the jewelry!salesbyjewelry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sales</a:t>
            </a:r>
            <a:r>
              <a:rPr lang="tr-TR" baseline="0"/>
              <a:t> by the jewelry</a:t>
            </a:r>
          </a:p>
          <a:p>
            <a:pPr>
              <a:defRPr/>
            </a:pP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tr-TR"/>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tr-TR"/>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tr-TR"/>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by the jewelry'!$B$2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03B-440E-AC74-EF4410ED73E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03B-440E-AC74-EF4410ED73E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tr-TR"/>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the jewelry'!$A$3:$A$5</c:f>
              <c:strCache>
                <c:ptCount val="2"/>
                <c:pt idx="0">
                  <c:v>Diamond</c:v>
                </c:pt>
                <c:pt idx="1">
                  <c:v>Gold</c:v>
                </c:pt>
              </c:strCache>
            </c:strRef>
          </c:cat>
          <c:val>
            <c:numRef>
              <c:f>'sales by the jewelry'!$B$3:$B$5</c:f>
              <c:numCache>
                <c:formatCode>General</c:formatCode>
                <c:ptCount val="2"/>
                <c:pt idx="0">
                  <c:v>101.2</c:v>
                </c:pt>
                <c:pt idx="1">
                  <c:v>169.21</c:v>
                </c:pt>
              </c:numCache>
            </c:numRef>
          </c:val>
          <c:extLst>
            <c:ext xmlns:c16="http://schemas.microsoft.com/office/drawing/2014/chart" uri="{C3380CC4-5D6E-409C-BE32-E72D297353CC}">
              <c16:uniqueId val="{00000007-83E5-4850-906B-87F9CA61B66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[dania-excel 1.xlsx]trend by the sales!trendbythesales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sales</a:t>
            </a:r>
            <a:r>
              <a:rPr lang="tr-TR" baseline="0"/>
              <a:t> by the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'trend by the sales'!$B$2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 by the sales'!$A$3:$A$7</c:f>
              <c:strCache>
                <c:ptCount val="4"/>
                <c:pt idx="0">
                  <c:v>1.01.2025</c:v>
                </c:pt>
                <c:pt idx="1">
                  <c:v>5.01.2025</c:v>
                </c:pt>
                <c:pt idx="2">
                  <c:v>7.01.2025</c:v>
                </c:pt>
                <c:pt idx="3">
                  <c:v>14.01.2025</c:v>
                </c:pt>
              </c:strCache>
            </c:strRef>
          </c:cat>
          <c:val>
            <c:numRef>
              <c:f>'trend by the sales'!$B$3:$B$7</c:f>
              <c:numCache>
                <c:formatCode>General</c:formatCode>
                <c:ptCount val="4"/>
                <c:pt idx="0">
                  <c:v>95</c:v>
                </c:pt>
                <c:pt idx="1">
                  <c:v>54.45</c:v>
                </c:pt>
                <c:pt idx="2">
                  <c:v>19.760000000000002</c:v>
                </c:pt>
                <c:pt idx="3">
                  <c:v>101.2</c:v>
                </c:pt>
              </c:numCache>
            </c:numRef>
          </c:val>
          <c:extLst>
            <c:ext xmlns:c16="http://schemas.microsoft.com/office/drawing/2014/chart" uri="{C3380CC4-5D6E-409C-BE32-E72D297353CC}">
              <c16:uniqueId val="{00000005-9892-4D4C-9F8F-E5CF917343DE}"/>
            </c:ext>
          </c:extLst>
        </c:ser>
        <c:dLbls>
          <c:dLblPos val="outEnd"/>
          <c:showLegendKey val="0"/>
          <c:showVal val="1"/>
          <c:showCatName val="0"/>
          <c:showSerName val="0"/>
          <c:showPercent val="0"/>
          <c:showBubbleSize val="0"/>
        </c:dLbls>
        <c:gapWidth val="182"/>
        <c:axId val="1365425359"/>
        <c:axId val="1365425839"/>
      </c:barChart>
      <c:catAx>
        <c:axId val="1365425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65425839"/>
        <c:crosses val="autoZero"/>
        <c:auto val="1"/>
        <c:lblAlgn val="ctr"/>
        <c:lblOffset val="100"/>
        <c:noMultiLvlLbl val="0"/>
      </c:catAx>
      <c:valAx>
        <c:axId val="1365425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6542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[dania-excel 1.xlsx]sales by city!salesbycity</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tr-TR">
                <a:solidFill>
                  <a:schemeClr val="dk1"/>
                </a:solidFill>
                <a:latin typeface="+mn-lt"/>
                <a:ea typeface="+mn-ea"/>
                <a:cs typeface="+mn-cs"/>
              </a:rPr>
              <a:t>sales by city</a:t>
            </a:r>
          </a:p>
          <a:p>
            <a:pPr>
              <a:defRPr>
                <a:solidFill>
                  <a:schemeClr val="dk1"/>
                </a:solidFill>
              </a:defRPr>
            </a:pPr>
            <a:endParaRPr lang="tr-TR"/>
          </a:p>
        </c:rich>
      </c:tx>
      <c:overlay val="0"/>
      <c:spPr>
        <a:noFill/>
        <a:ln w="19050" cap="flat" cmpd="sng" algn="ctr">
          <a:no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tr-T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'sales by city'!$B$2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1D-49A4-BA8E-CD8CC8F4D5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1D-49A4-BA8E-CD8CC8F4D5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'sales by city'!$A$3:$A$6</c:f>
              <c:multiLvlStrCache>
                <c:ptCount val="2"/>
                <c:lvl>
                  <c:pt idx="0">
                    <c:v>dania</c:v>
                  </c:pt>
                  <c:pt idx="1">
                    <c:v>mazen</c:v>
                  </c:pt>
                </c:lvl>
                <c:lvl>
                  <c:pt idx="0">
                    <c:v>istanbul</c:v>
                  </c:pt>
                </c:lvl>
              </c:multiLvlStrCache>
            </c:multiLvlStrRef>
          </c:cat>
          <c:val>
            <c:numRef>
              <c:f>'sales by city'!$B$3:$B$6</c:f>
              <c:numCache>
                <c:formatCode>General</c:formatCode>
                <c:ptCount val="2"/>
                <c:pt idx="0">
                  <c:v>149.44999999999999</c:v>
                </c:pt>
                <c:pt idx="1">
                  <c:v>120.96</c:v>
                </c:pt>
              </c:numCache>
            </c:numRef>
          </c:val>
          <c:extLst>
            <c:ext xmlns:c16="http://schemas.microsoft.com/office/drawing/2014/chart" uri="{C3380CC4-5D6E-409C-BE32-E72D297353CC}">
              <c16:uniqueId val="{00000009-E1A8-483D-87F4-0E6FEAD74B2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[dania-excel 1.xlsx]sales by the jewelry!salesbyjewelry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sales</a:t>
            </a:r>
            <a:r>
              <a:rPr lang="tr-TR" baseline="0"/>
              <a:t> by the jewelry</a:t>
            </a:r>
          </a:p>
          <a:p>
            <a:pPr>
              <a:defRPr/>
            </a:pP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tr-TR"/>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by the jewelry'!$B$2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A0B-4B55-847E-B8E18A80D53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A0B-4B55-847E-B8E18A80D53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tr-TR"/>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the jewelry'!$A$3:$A$5</c:f>
              <c:strCache>
                <c:ptCount val="2"/>
                <c:pt idx="0">
                  <c:v>Diamond</c:v>
                </c:pt>
                <c:pt idx="1">
                  <c:v>Gold</c:v>
                </c:pt>
              </c:strCache>
            </c:strRef>
          </c:cat>
          <c:val>
            <c:numRef>
              <c:f>'sales by the jewelry'!$B$3:$B$5</c:f>
              <c:numCache>
                <c:formatCode>General</c:formatCode>
                <c:ptCount val="2"/>
                <c:pt idx="0">
                  <c:v>101.2</c:v>
                </c:pt>
                <c:pt idx="1">
                  <c:v>169.21</c:v>
                </c:pt>
              </c:numCache>
            </c:numRef>
          </c:val>
          <c:extLst>
            <c:ext xmlns:c16="http://schemas.microsoft.com/office/drawing/2014/chart" uri="{C3380CC4-5D6E-409C-BE32-E72D297353CC}">
              <c16:uniqueId val="{00000007-B3A2-43B4-82D1-7EA07ACB4BA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[dania-excel 1.xlsx]trend by the sales!trendbythesales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sales</a:t>
            </a:r>
            <a:r>
              <a:rPr lang="tr-TR" baseline="0"/>
              <a:t> by the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'trend by the sales'!$B$2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 by the sales'!$A$3:$A$7</c:f>
              <c:strCache>
                <c:ptCount val="4"/>
                <c:pt idx="0">
                  <c:v>1.01.2025</c:v>
                </c:pt>
                <c:pt idx="1">
                  <c:v>5.01.2025</c:v>
                </c:pt>
                <c:pt idx="2">
                  <c:v>7.01.2025</c:v>
                </c:pt>
                <c:pt idx="3">
                  <c:v>14.01.2025</c:v>
                </c:pt>
              </c:strCache>
            </c:strRef>
          </c:cat>
          <c:val>
            <c:numRef>
              <c:f>'trend by the sales'!$B$3:$B$7</c:f>
              <c:numCache>
                <c:formatCode>General</c:formatCode>
                <c:ptCount val="4"/>
                <c:pt idx="0">
                  <c:v>95</c:v>
                </c:pt>
                <c:pt idx="1">
                  <c:v>54.45</c:v>
                </c:pt>
                <c:pt idx="2">
                  <c:v>19.760000000000002</c:v>
                </c:pt>
                <c:pt idx="3">
                  <c:v>101.2</c:v>
                </c:pt>
              </c:numCache>
            </c:numRef>
          </c:val>
          <c:extLst>
            <c:ext xmlns:c16="http://schemas.microsoft.com/office/drawing/2014/chart" uri="{C3380CC4-5D6E-409C-BE32-E72D297353CC}">
              <c16:uniqueId val="{00000005-D371-4B37-BA68-851A7561A00C}"/>
            </c:ext>
          </c:extLst>
        </c:ser>
        <c:dLbls>
          <c:dLblPos val="outEnd"/>
          <c:showLegendKey val="0"/>
          <c:showVal val="1"/>
          <c:showCatName val="0"/>
          <c:showSerName val="0"/>
          <c:showPercent val="0"/>
          <c:showBubbleSize val="0"/>
        </c:dLbls>
        <c:gapWidth val="182"/>
        <c:axId val="1365425359"/>
        <c:axId val="1365425839"/>
      </c:barChart>
      <c:catAx>
        <c:axId val="1365425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65425839"/>
        <c:crosses val="autoZero"/>
        <c:auto val="1"/>
        <c:lblAlgn val="ctr"/>
        <c:lblOffset val="100"/>
        <c:noMultiLvlLbl val="0"/>
      </c:catAx>
      <c:valAx>
        <c:axId val="1365425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6542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9</xdr:col>
      <xdr:colOff>60960</xdr:colOff>
      <xdr:row>1</xdr:row>
      <xdr:rowOff>160021</xdr:rowOff>
    </xdr:from>
    <xdr:to>
      <xdr:col>11</xdr:col>
      <xdr:colOff>30480</xdr:colOff>
      <xdr:row>9</xdr:row>
      <xdr:rowOff>167640</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D64B6DD2-FAC9-54CB-1089-4EAB49552B7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385560" y="342901"/>
              <a:ext cx="1188720" cy="1470659"/>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1059180</xdr:colOff>
      <xdr:row>1</xdr:row>
      <xdr:rowOff>76200</xdr:rowOff>
    </xdr:from>
    <xdr:to>
      <xdr:col>9</xdr:col>
      <xdr:colOff>419100</xdr:colOff>
      <xdr:row>8</xdr:row>
      <xdr:rowOff>167640</xdr:rowOff>
    </xdr:to>
    <mc:AlternateContent xmlns:mc="http://schemas.openxmlformats.org/markup-compatibility/2006" xmlns:tsle="http://schemas.microsoft.com/office/drawing/2012/timeslicer">
      <mc:Choice Requires="tsle">
        <xdr:graphicFrame macro="">
          <xdr:nvGraphicFramePr>
            <xdr:cNvPr id="2" name="Date 1">
              <a:extLst>
                <a:ext uri="{FF2B5EF4-FFF2-40B4-BE49-F238E27FC236}">
                  <a16:creationId xmlns:a16="http://schemas.microsoft.com/office/drawing/2014/main" id="{A9F32EAF-E5A7-7646-5AA7-E64AE4957AD1}"/>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9982329540" y="259080"/>
              <a:ext cx="3337560" cy="1371600"/>
            </a:xfrm>
            <a:prstGeom prst="rect">
              <a:avLst/>
            </a:prstGeom>
            <a:solidFill>
              <a:prstClr val="white"/>
            </a:solidFill>
            <a:ln w="1">
              <a:solidFill>
                <a:prstClr val="green"/>
              </a:solidFill>
            </a:ln>
          </xdr:spPr>
          <xdr:txBody>
            <a:bodyPr vertOverflow="clip" horzOverflow="clip"/>
            <a:lstStyle/>
            <a:p>
              <a:r>
                <a:rPr lang="tr-TR"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152400</xdr:colOff>
      <xdr:row>0</xdr:row>
      <xdr:rowOff>137160</xdr:rowOff>
    </xdr:from>
    <xdr:to>
      <xdr:col>9</xdr:col>
      <xdr:colOff>457200</xdr:colOff>
      <xdr:row>15</xdr:row>
      <xdr:rowOff>137160</xdr:rowOff>
    </xdr:to>
    <xdr:graphicFrame macro="">
      <xdr:nvGraphicFramePr>
        <xdr:cNvPr id="3" name="Chart 2">
          <a:extLst>
            <a:ext uri="{FF2B5EF4-FFF2-40B4-BE49-F238E27FC236}">
              <a16:creationId xmlns:a16="http://schemas.microsoft.com/office/drawing/2014/main" id="{4A76BFE6-27F2-310C-5A68-73565A5E16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1005840</xdr:colOff>
      <xdr:row>0</xdr:row>
      <xdr:rowOff>106680</xdr:rowOff>
    </xdr:from>
    <xdr:to>
      <xdr:col>9</xdr:col>
      <xdr:colOff>0</xdr:colOff>
      <xdr:row>14</xdr:row>
      <xdr:rowOff>121920</xdr:rowOff>
    </xdr:to>
    <xdr:graphicFrame macro="">
      <xdr:nvGraphicFramePr>
        <xdr:cNvPr id="2" name="Chart 1">
          <a:extLst>
            <a:ext uri="{FF2B5EF4-FFF2-40B4-BE49-F238E27FC236}">
              <a16:creationId xmlns:a16="http://schemas.microsoft.com/office/drawing/2014/main" id="{AF339829-7D85-C9E3-3F29-635FC8973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0</xdr:row>
      <xdr:rowOff>7621</xdr:rowOff>
    </xdr:from>
    <xdr:to>
      <xdr:col>6</xdr:col>
      <xdr:colOff>347241</xdr:colOff>
      <xdr:row>13</xdr:row>
      <xdr:rowOff>38583</xdr:rowOff>
    </xdr:to>
    <xdr:graphicFrame macro="">
      <xdr:nvGraphicFramePr>
        <xdr:cNvPr id="3" name="Chart 2">
          <a:extLst>
            <a:ext uri="{FF2B5EF4-FFF2-40B4-BE49-F238E27FC236}">
              <a16:creationId xmlns:a16="http://schemas.microsoft.com/office/drawing/2014/main" id="{79EADDEC-D578-48D2-9C5E-CA44FA9ED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251</xdr:colOff>
      <xdr:row>5</xdr:row>
      <xdr:rowOff>122942</xdr:rowOff>
    </xdr:from>
    <xdr:to>
      <xdr:col>23</xdr:col>
      <xdr:colOff>250448</xdr:colOff>
      <xdr:row>24</xdr:row>
      <xdr:rowOff>9592</xdr:rowOff>
    </xdr:to>
    <xdr:graphicFrame macro="">
      <xdr:nvGraphicFramePr>
        <xdr:cNvPr id="5" name="Chart 4">
          <a:extLst>
            <a:ext uri="{FF2B5EF4-FFF2-40B4-BE49-F238E27FC236}">
              <a16:creationId xmlns:a16="http://schemas.microsoft.com/office/drawing/2014/main" id="{BFD38433-B534-4300-8EE0-72C47D6FC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38582</xdr:rowOff>
    </xdr:from>
    <xdr:to>
      <xdr:col>6</xdr:col>
      <xdr:colOff>395468</xdr:colOff>
      <xdr:row>28</xdr:row>
      <xdr:rowOff>71185</xdr:rowOff>
    </xdr:to>
    <xdr:graphicFrame macro="">
      <xdr:nvGraphicFramePr>
        <xdr:cNvPr id="7" name="Chart 6">
          <a:extLst>
            <a:ext uri="{FF2B5EF4-FFF2-40B4-BE49-F238E27FC236}">
              <a16:creationId xmlns:a16="http://schemas.microsoft.com/office/drawing/2014/main" id="{5D76504A-5019-496B-B468-ACB31188D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426032</xdr:colOff>
      <xdr:row>13</xdr:row>
      <xdr:rowOff>48226</xdr:rowOff>
    </xdr:from>
    <xdr:to>
      <xdr:col>13</xdr:col>
      <xdr:colOff>279720</xdr:colOff>
      <xdr:row>27</xdr:row>
      <xdr:rowOff>168994</xdr:rowOff>
    </xdr:to>
    <xdr:graphicFrame macro="">
      <xdr:nvGraphicFramePr>
        <xdr:cNvPr id="9" name="Chart 8">
          <a:extLst>
            <a:ext uri="{FF2B5EF4-FFF2-40B4-BE49-F238E27FC236}">
              <a16:creationId xmlns:a16="http://schemas.microsoft.com/office/drawing/2014/main" id="{E4897DAD-8C32-43F3-8659-752358FBC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337594</xdr:colOff>
      <xdr:row>0</xdr:row>
      <xdr:rowOff>38583</xdr:rowOff>
    </xdr:from>
    <xdr:to>
      <xdr:col>13</xdr:col>
      <xdr:colOff>376175</xdr:colOff>
      <xdr:row>12</xdr:row>
      <xdr:rowOff>57873</xdr:rowOff>
    </xdr:to>
    <xdr:graphicFrame macro="">
      <xdr:nvGraphicFramePr>
        <xdr:cNvPr id="11" name="Chart 10">
          <a:extLst>
            <a:ext uri="{FF2B5EF4-FFF2-40B4-BE49-F238E27FC236}">
              <a16:creationId xmlns:a16="http://schemas.microsoft.com/office/drawing/2014/main" id="{42DB5C90-5177-44F8-A05E-71907276B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595745</xdr:colOff>
      <xdr:row>5</xdr:row>
      <xdr:rowOff>96983</xdr:rowOff>
    </xdr:from>
    <xdr:to>
      <xdr:col>32</xdr:col>
      <xdr:colOff>50569</xdr:colOff>
      <xdr:row>22</xdr:row>
      <xdr:rowOff>29268</xdr:rowOff>
    </xdr:to>
    <mc:AlternateContent xmlns:mc="http://schemas.openxmlformats.org/markup-compatibility/2006" xmlns:a14="http://schemas.microsoft.com/office/drawing/2010/main">
      <mc:Choice Requires="a14">
        <xdr:graphicFrame macro="">
          <xdr:nvGraphicFramePr>
            <xdr:cNvPr id="13" name="City 1">
              <a:extLst>
                <a:ext uri="{FF2B5EF4-FFF2-40B4-BE49-F238E27FC236}">
                  <a16:creationId xmlns:a16="http://schemas.microsoft.com/office/drawing/2014/main" id="{DB11315B-2A6C-5E08-D64D-FB4CD7F6C14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9968128631" y="997528"/>
              <a:ext cx="2502824" cy="2994140"/>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419686</xdr:colOff>
      <xdr:row>22</xdr:row>
      <xdr:rowOff>118030</xdr:rowOff>
    </xdr:from>
    <xdr:to>
      <xdr:col>31</xdr:col>
      <xdr:colOff>419686</xdr:colOff>
      <xdr:row>36</xdr:row>
      <xdr:rowOff>177778</xdr:rowOff>
    </xdr:to>
    <mc:AlternateContent xmlns:mc="http://schemas.openxmlformats.org/markup-compatibility/2006" xmlns:a14="http://schemas.microsoft.com/office/drawing/2010/main">
      <mc:Choice Requires="a14">
        <xdr:graphicFrame macro="">
          <xdr:nvGraphicFramePr>
            <xdr:cNvPr id="14" name="Customers 1">
              <a:extLst>
                <a:ext uri="{FF2B5EF4-FFF2-40B4-BE49-F238E27FC236}">
                  <a16:creationId xmlns:a16="http://schemas.microsoft.com/office/drawing/2014/main" id="{43D63BED-8E44-8DBB-6633-D006BBA1C973}"/>
                </a:ext>
              </a:extLst>
            </xdr:cNvPr>
            <xdr:cNvGraphicFramePr/>
          </xdr:nvGraphicFramePr>
          <xdr:xfrm>
            <a:off x="0" y="0"/>
            <a:ext cx="0" cy="0"/>
          </xdr:xfrm>
          <a:graphic>
            <a:graphicData uri="http://schemas.microsoft.com/office/drawing/2010/slicer">
              <sle:slicer xmlns:sle="http://schemas.microsoft.com/office/drawing/2010/slicer" name="Customers 1"/>
            </a:graphicData>
          </a:graphic>
        </xdr:graphicFrame>
      </mc:Choice>
      <mc:Fallback xmlns="">
        <xdr:sp macro="" textlink="">
          <xdr:nvSpPr>
            <xdr:cNvPr id="0" name=""/>
            <xdr:cNvSpPr>
              <a:spLocks noTextEdit="1"/>
            </xdr:cNvSpPr>
          </xdr:nvSpPr>
          <xdr:spPr>
            <a:xfrm>
              <a:off x="9968369114" y="4244553"/>
              <a:ext cx="1828800" cy="2685717"/>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281940</xdr:colOff>
      <xdr:row>1</xdr:row>
      <xdr:rowOff>0</xdr:rowOff>
    </xdr:from>
    <xdr:to>
      <xdr:col>9</xdr:col>
      <xdr:colOff>586740</xdr:colOff>
      <xdr:row>16</xdr:row>
      <xdr:rowOff>0</xdr:rowOff>
    </xdr:to>
    <xdr:graphicFrame macro="">
      <xdr:nvGraphicFramePr>
        <xdr:cNvPr id="3" name="Chart 2">
          <a:extLst>
            <a:ext uri="{FF2B5EF4-FFF2-40B4-BE49-F238E27FC236}">
              <a16:creationId xmlns:a16="http://schemas.microsoft.com/office/drawing/2014/main" id="{D1861CFD-820B-2865-BFE4-A275F3DE49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228600</xdr:colOff>
      <xdr:row>1</xdr:row>
      <xdr:rowOff>15240</xdr:rowOff>
    </xdr:from>
    <xdr:to>
      <xdr:col>9</xdr:col>
      <xdr:colOff>533400</xdr:colOff>
      <xdr:row>16</xdr:row>
      <xdr:rowOff>15240</xdr:rowOff>
    </xdr:to>
    <xdr:graphicFrame macro="">
      <xdr:nvGraphicFramePr>
        <xdr:cNvPr id="3" name="Chart 2">
          <a:extLst>
            <a:ext uri="{FF2B5EF4-FFF2-40B4-BE49-F238E27FC236}">
              <a16:creationId xmlns:a16="http://schemas.microsoft.com/office/drawing/2014/main" id="{0A65E41F-FCE6-5DC9-058F-DA83B56C8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472440</xdr:colOff>
      <xdr:row>0</xdr:row>
      <xdr:rowOff>91440</xdr:rowOff>
    </xdr:from>
    <xdr:to>
      <xdr:col>11</xdr:col>
      <xdr:colOff>609600</xdr:colOff>
      <xdr:row>8</xdr:row>
      <xdr:rowOff>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FF1ED68E-E88E-3DEE-750C-D9B62DC25B24}"/>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9981857100" y="91440"/>
              <a:ext cx="3337560" cy="1371600"/>
            </a:xfrm>
            <a:prstGeom prst="rect">
              <a:avLst/>
            </a:prstGeom>
            <a:solidFill>
              <a:prstClr val="white"/>
            </a:solidFill>
            <a:ln w="1">
              <a:solidFill>
                <a:prstClr val="green"/>
              </a:solidFill>
            </a:ln>
          </xdr:spPr>
          <xdr:txBody>
            <a:bodyPr vertOverflow="clip" horzOverflow="clip"/>
            <a:lstStyle/>
            <a:p>
              <a:r>
                <a:rPr lang="tr-TR" sz="1100"/>
                <a:t>Timeline: Works in Excel 2013 or higher. Do not move or resize.</a:t>
              </a:r>
            </a:p>
          </xdr:txBody>
        </xdr:sp>
      </mc:Fallback>
    </mc:AlternateContent>
    <xdr:clientData/>
  </xdr:twoCellAnchor>
  <xdr:twoCellAnchor>
    <xdr:from>
      <xdr:col>2</xdr:col>
      <xdr:colOff>274320</xdr:colOff>
      <xdr:row>1</xdr:row>
      <xdr:rowOff>7620</xdr:rowOff>
    </xdr:from>
    <xdr:to>
      <xdr:col>6</xdr:col>
      <xdr:colOff>579120</xdr:colOff>
      <xdr:row>16</xdr:row>
      <xdr:rowOff>7620</xdr:rowOff>
    </xdr:to>
    <xdr:graphicFrame macro="">
      <xdr:nvGraphicFramePr>
        <xdr:cNvPr id="6" name="Chart 5">
          <a:extLst>
            <a:ext uri="{FF2B5EF4-FFF2-40B4-BE49-F238E27FC236}">
              <a16:creationId xmlns:a16="http://schemas.microsoft.com/office/drawing/2014/main" id="{9518030D-6515-9C99-990B-95E8F4639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38100</xdr:colOff>
      <xdr:row>3</xdr:row>
      <xdr:rowOff>76200</xdr:rowOff>
    </xdr:from>
    <xdr:to>
      <xdr:col>6</xdr:col>
      <xdr:colOff>617220</xdr:colOff>
      <xdr:row>17</xdr:row>
      <xdr:rowOff>97155</xdr:rowOff>
    </xdr:to>
    <mc:AlternateContent xmlns:mc="http://schemas.openxmlformats.org/markup-compatibility/2006" xmlns:a14="http://schemas.microsoft.com/office/drawing/2010/main">
      <mc:Choice Requires="a14">
        <xdr:graphicFrame macro="">
          <xdr:nvGraphicFramePr>
            <xdr:cNvPr id="6" name="Customers">
              <a:extLst>
                <a:ext uri="{FF2B5EF4-FFF2-40B4-BE49-F238E27FC236}">
                  <a16:creationId xmlns:a16="http://schemas.microsoft.com/office/drawing/2014/main" id="{000F6D84-2727-09BF-1250-5673C11AC3B0}"/>
                </a:ext>
              </a:extLst>
            </xdr:cNvPr>
            <xdr:cNvGraphicFramePr/>
          </xdr:nvGraphicFramePr>
          <xdr:xfrm>
            <a:off x="0" y="0"/>
            <a:ext cx="0" cy="0"/>
          </xdr:xfrm>
          <a:graphic>
            <a:graphicData uri="http://schemas.microsoft.com/office/drawing/2010/slicer">
              <sle:slicer xmlns:sle="http://schemas.microsoft.com/office/drawing/2010/slicer" name="Customers"/>
            </a:graphicData>
          </a:graphic>
        </xdr:graphicFrame>
      </mc:Choice>
      <mc:Fallback xmlns="">
        <xdr:sp macro="" textlink="">
          <xdr:nvSpPr>
            <xdr:cNvPr id="0" name=""/>
            <xdr:cNvSpPr>
              <a:spLocks noTextEdit="1"/>
            </xdr:cNvSpPr>
          </xdr:nvSpPr>
          <xdr:spPr>
            <a:xfrm>
              <a:off x="9997036140" y="624840"/>
              <a:ext cx="1828800" cy="2581275"/>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358140</xdr:colOff>
      <xdr:row>8</xdr:row>
      <xdr:rowOff>45720</xdr:rowOff>
    </xdr:from>
    <xdr:to>
      <xdr:col>11</xdr:col>
      <xdr:colOff>243840</xdr:colOff>
      <xdr:row>22</xdr:row>
      <xdr:rowOff>66675</xdr:rowOff>
    </xdr:to>
    <mc:AlternateContent xmlns:mc="http://schemas.openxmlformats.org/markup-compatibility/2006" xmlns:a14="http://schemas.microsoft.com/office/drawing/2010/main">
      <mc:Choice Requires="a14">
        <xdr:graphicFrame macro="">
          <xdr:nvGraphicFramePr>
            <xdr:cNvPr id="8" name="Customers 2">
              <a:extLst>
                <a:ext uri="{FF2B5EF4-FFF2-40B4-BE49-F238E27FC236}">
                  <a16:creationId xmlns:a16="http://schemas.microsoft.com/office/drawing/2014/main" id="{AEEB6792-ACAD-A61E-88F7-66F07975F701}"/>
                </a:ext>
              </a:extLst>
            </xdr:cNvPr>
            <xdr:cNvGraphicFramePr/>
          </xdr:nvGraphicFramePr>
          <xdr:xfrm>
            <a:off x="0" y="0"/>
            <a:ext cx="0" cy="0"/>
          </xdr:xfrm>
          <a:graphic>
            <a:graphicData uri="http://schemas.microsoft.com/office/drawing/2010/slicer">
              <sle:slicer xmlns:sle="http://schemas.microsoft.com/office/drawing/2010/slicer" name="Customers 2"/>
            </a:graphicData>
          </a:graphic>
        </xdr:graphicFrame>
      </mc:Choice>
      <mc:Fallback xmlns="">
        <xdr:sp macro="" textlink="">
          <xdr:nvSpPr>
            <xdr:cNvPr id="0" name=""/>
            <xdr:cNvSpPr>
              <a:spLocks noTextEdit="1"/>
            </xdr:cNvSpPr>
          </xdr:nvSpPr>
          <xdr:spPr>
            <a:xfrm>
              <a:off x="9994216740" y="1508760"/>
              <a:ext cx="1828800" cy="2581275"/>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39.162114583334" backgroundQuery="1" createdVersion="8" refreshedVersion="8" minRefreshableVersion="3" recordCount="0" supportSubquery="1" supportAdvancedDrill="1" xr:uid="{50895CA9-118B-4181-9C9C-964F82F22E00}">
  <cacheSource type="external" connectionId="1"/>
  <cacheFields count="0"/>
  <cacheHierarchies count="38">
    <cacheHierarchy uniqueName="[MainTable].[Customers]" caption="Customers" attribute="1" defaultMemberUniqueName="[MainTable].[Customers].[All]" allUniqueName="[MainTable].[Customers].[All]" dimensionUniqueName="[MainTable]" displayFolder="" count="0" memberValueDatatype="130" unbalanced="0"/>
    <cacheHierarchy uniqueName="[MainTable].[Type of sale]" caption="Type of sale" attribute="1" defaultMemberUniqueName="[MainTable].[Type of sale].[All]" allUniqueName="[MainTable].[Type of sale].[All]" dimensionUniqueName="[MainTable]" displayFolder="" count="0" memberValueDatatype="130" unbalanced="0"/>
    <cacheHierarchy uniqueName="[MainTable].[The price]" caption="The price" attribute="1" defaultMemberUniqueName="[MainTable].[The price].[All]" allUniqueName="[MainTable].[The price].[All]" dimensionUniqueName="[MainTable]" displayFolder="" count="0" memberValueDatatype="20" unbalanced="0"/>
    <cacheHierarchy uniqueName="[MainTable].[Date]" caption="Date" attribute="1" time="1" defaultMemberUniqueName="[MainTable].[Date].[All]" allUniqueName="[MainTable].[Date].[All]" dimensionUniqueName="[MainTable]" displayFolder="" count="0" memberValueDatatype="7" unbalanced="0"/>
    <cacheHierarchy uniqueName="[MainTable].[Net profit]" caption="Net profit" attribute="1" defaultMemberUniqueName="[MainTable].[Net profit].[All]" allUniqueName="[MainTable].[Net profit].[All]" dimensionUniqueName="[MainTable]" displayFolder="" count="0" memberValueDatatype="5" unbalanced="0"/>
    <cacheHierarchy uniqueName="[MainTable].[City]" caption="City" attribute="1" defaultMemberUniqueName="[MainTable].[City].[All]" allUniqueName="[MainTable].[City].[All]" dimensionUniqueName="[MainTable]" displayFolder="" count="0" memberValueDatatype="130" unbalanced="0"/>
    <cacheHierarchy uniqueName="[MainTable].[the tax]" caption="the tax" attribute="1" defaultMemberUniqueName="[MainTable].[the tax].[All]" allUniqueName="[MainTable].[the tax].[All]" dimensionUniqueName="[MainTable]" displayFolder="" count="0" memberValueDatatype="5" unbalanced="0"/>
    <cacheHierarchy uniqueName="[MainTable].[collection date]" caption="collection date" attribute="1" time="1" defaultMemberUniqueName="[MainTable].[collection date].[All]" allUniqueName="[MainTable].[collection date].[All]" dimensionUniqueName="[MainTable]" displayFolder="" count="0" memberValueDatatype="7" unbalanced="0"/>
    <cacheHierarchy uniqueName="[MainTable].[Number of days remaining]" caption="Number of days remaining" attribute="1" defaultMemberUniqueName="[MainTable].[Number of days remaining].[All]" allUniqueName="[MainTable].[Number of days remaining].[All]" dimensionUniqueName="[MainTable]" displayFolder="" count="0" memberValueDatatype="20" unbalanced="0"/>
    <cacheHierarchy uniqueName="[MainTable].[Type of the jewelry]" caption="Type of the jewelry" attribute="1" defaultMemberUniqueName="[MainTable].[Type of the jewelry].[All]" allUniqueName="[MainTable].[Type of the jewelry].[All]" dimensionUniqueName="[MainTable]" displayFolder="" count="0" memberValueDatatype="130" unbalanced="0"/>
    <cacheHierarchy uniqueName="[MainTable].[Date (Month)]" caption="Date (Month)" attribute="1" defaultMemberUniqueName="[MainTable].[Date (Month)].[All]" allUniqueName="[MainTable].[Date (Month)].[All]" dimensionUniqueName="[MainTable]" displayFolder="" count="0" memberValueDatatype="130" unbalanced="0"/>
    <cacheHierarchy uniqueName="[MainTable].[Date (Quarter)]" caption="Date (Quarter)" attribute="1" defaultMemberUniqueName="[MainTable].[Date (Quarter)].[All]" allUniqueName="[MainTable].[Date (Quarter)].[All]" dimensionUniqueName="[MainTable]" displayFolder="" count="0" memberValueDatatype="130" unbalanced="0"/>
    <cacheHierarchy uniqueName="[MainTable].[Date (Day)]" caption="Date (Day)" attribute="1" defaultMemberUniqueName="[MainTable].[Date (Day)].[All]" allUniqueName="[MainTable].[Date (Day)].[All]" dimensionUniqueName="[MainTable]" displayFolder="" count="0" memberValueDatatype="130" unbalanced="0"/>
    <cacheHierarchy uniqueName="[MainTable].[Date (Hour)]" caption="Date (Hour)" attribute="1" defaultMemberUniqueName="[MainTable].[Date (Hour)].[All]" allUniqueName="[MainTable].[Date (Hour)].[All]" dimensionUniqueName="[MainTable]" displayFolder="" count="0" memberValueDatatype="130" unbalanced="0"/>
    <cacheHierarchy uniqueName="[Range].[Total sales]" caption="Total sales" attribute="1" defaultMemberUniqueName="[Range].[Total sales].[All]" allUniqueName="[Range].[Total sales].[All]" dimensionUniqueName="[Range]" displayFolder="" count="0" memberValueDatatype="5" unbalanced="0"/>
    <cacheHierarchy uniqueName="[Range].[Customers]" caption="Customers" attribute="1" defaultMemberUniqueName="[Range].[Customers].[All]" allUniqueName="[Range].[Customers].[All]" dimensionUniqueName="[Range]" displayFolder="" count="0" memberValueDatatype="130" unbalanced="0"/>
    <cacheHierarchy uniqueName="[Range].[Type of customer]" caption="Type of customer" attribute="1" defaultMemberUniqueName="[Range].[Type of customer].[All]" allUniqueName="[Range].[Type of customer].[All]" dimensionUniqueName="[Range]" displayFolder="" count="0" memberValueDatatype="130" unbalanced="0"/>
    <cacheHierarchy uniqueName="[Range].[percentage of sales]" caption="percentage of sales" attribute="1" defaultMemberUniqueName="[Range].[percentage of sales].[All]" allUniqueName="[Range].[percentage of sales].[All]" dimensionUniqueName="[Range]" displayFolder="" count="0" memberValueDatatype="5" unbalanced="0"/>
    <cacheHierarchy uniqueName="[Range].[City]" caption="City" attribute="1" defaultMemberUniqueName="[Range].[City].[All]" allUniqueName="[Range].[City].[All]" dimensionUniqueName="[Range]" displayFolder="" count="0" memberValueDatatype="130" unbalanced="0"/>
    <cacheHierarchy uniqueName="[SmallTable].[Total sales]" caption="Total sales" attribute="1" defaultMemberUniqueName="[SmallTable].[Total sales].[All]" allUniqueName="[SmallTable].[Total sales].[All]" dimensionUniqueName="[SmallTable]" displayFolder="" count="0" memberValueDatatype="5" unbalanced="0"/>
    <cacheHierarchy uniqueName="[SmallTable].[Customers]" caption="Customers" attribute="1" defaultMemberUniqueName="[SmallTable].[Customers].[All]" allUniqueName="[SmallTable].[Customers].[All]" dimensionUniqueName="[SmallTable]" displayFolder="" count="0" memberValueDatatype="130" unbalanced="0"/>
    <cacheHierarchy uniqueName="[SmallTable].[Type of customer]" caption="Type of customer" attribute="1" defaultMemberUniqueName="[SmallTable].[Type of customer].[All]" allUniqueName="[SmallTable].[Type of customer].[All]" dimensionUniqueName="[SmallTable]" displayFolder="" count="0" memberValueDatatype="130" unbalanced="0"/>
    <cacheHierarchy uniqueName="[SmallTable].[percentage of sales]" caption="percentage of sales" attribute="1" defaultMemberUniqueName="[SmallTable].[percentage of sales].[All]" allUniqueName="[SmallTable].[percentage of sales].[All]" dimensionUniqueName="[SmallTable]" displayFolder="" count="0" memberValueDatatype="5" unbalanced="0"/>
    <cacheHierarchy uniqueName="[SmallTable].[City]" caption="City" attribute="1" defaultMemberUniqueName="[SmallTable].[City].[All]" allUniqueName="[SmallTable].[City].[All]" dimensionUniqueName="[SmallTable]" displayFolder="" count="0" memberValueDatatype="130" unbalanced="0"/>
    <cacheHierarchy uniqueName="[MainTable].[Date (Day Index)]" caption="Date (Day Index)" attribute="1" defaultMemberUniqueName="[MainTable].[Date (Day Index)].[All]" allUniqueName="[MainTable].[Date (Day Index)].[All]" dimensionUniqueName="[MainTable]" displayFolder="" count="0" memberValueDatatype="5" unbalanced="0" hidden="1"/>
    <cacheHierarchy uniqueName="[MainTable].[Date (Month Index)]" caption="Date (Month Index)" attribute="1" defaultMemberUniqueName="[MainTable].[Date (Month Index)].[All]" allUniqueName="[MainTable].[Date (Month Index)].[All]" dimensionUniqueName="[MainTable]" displayFolder="" count="0" memberValueDatatype="20" unbalanced="0" hidden="1"/>
    <cacheHierarchy uniqueName="[Measures].[__XL_Count Range]" caption="__XL_Count Range" measure="1" displayFolder="" measureGroup="Range" count="0" hidden="1"/>
    <cacheHierarchy uniqueName="[Measures].[__XL_Count MainTable]" caption="__XL_Count MainTable" measure="1" displayFolder="" measureGroup="MainTable" count="0" hidden="1"/>
    <cacheHierarchy uniqueName="[Measures].[__XL_Count SmallTable]" caption="__XL_Count SmallTable" measure="1" displayFolder="" measureGroup="SmallTabl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14"/>
        </ext>
      </extLst>
    </cacheHierarchy>
    <cacheHierarchy uniqueName="[Measures].[Sum of percentage of sales]" caption="Sum of percentage of sales" measure="1" displayFolder="" measureGroup="Range" count="0" hidden="1">
      <extLst>
        <ext xmlns:x15="http://schemas.microsoft.com/office/spreadsheetml/2010/11/main" uri="{B97F6D7D-B522-45F9-BDA1-12C45D357490}">
          <x15:cacheHierarchy aggregatedColumn="17"/>
        </ext>
      </extLst>
    </cacheHierarchy>
    <cacheHierarchy uniqueName="[Measures].[Count of Type of customer]" caption="Count of Type of customer" measure="1" displayFolder="" measureGroup="Range" count="0" hidden="1">
      <extLst>
        <ext xmlns:x15="http://schemas.microsoft.com/office/spreadsheetml/2010/11/main" uri="{B97F6D7D-B522-45F9-BDA1-12C45D357490}">
          <x15:cacheHierarchy aggregatedColumn="16"/>
        </ext>
      </extLst>
    </cacheHierarchy>
    <cacheHierarchy uniqueName="[Measures].[Sum of The price]" caption="Sum of The price" measure="1" displayFolder="" measureGroup="MainTable" count="0" hidden="1">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MainTable" count="0" hidden="1">
      <extLst>
        <ext xmlns:x15="http://schemas.microsoft.com/office/spreadsheetml/2010/11/main" uri="{B97F6D7D-B522-45F9-BDA1-12C45D357490}">
          <x15:cacheHierarchy aggregatedColumn="4"/>
        </ext>
      </extLst>
    </cacheHierarchy>
    <cacheHierarchy uniqueName="[Measures].[Sum of Total sales 2]" caption="Sum of Total sales 2" measure="1" displayFolder="" measureGroup="SmallTable" count="0" hidden="1">
      <extLst>
        <ext xmlns:x15="http://schemas.microsoft.com/office/spreadsheetml/2010/11/main" uri="{B97F6D7D-B522-45F9-BDA1-12C45D357490}">
          <x15:cacheHierarchy aggregatedColumn="19"/>
        </ext>
      </extLst>
    </cacheHierarchy>
    <cacheHierarchy uniqueName="[Measures].[Sum of percentage of sales 2]" caption="Sum of percentage of sales 2" measure="1" displayFolder="" measureGroup="SmallTable" count="0" hidden="1">
      <extLst>
        <ext xmlns:x15="http://schemas.microsoft.com/office/spreadsheetml/2010/11/main" uri="{B97F6D7D-B522-45F9-BDA1-12C45D357490}">
          <x15:cacheHierarchy aggregatedColumn="22"/>
        </ext>
      </extLst>
    </cacheHierarchy>
    <cacheHierarchy uniqueName="[Measures].[Sum of the tax]" caption="Sum of the tax" measure="1" displayFolder="" measureGroup="MainTable" count="0" hidden="1">
      <extLst>
        <ext xmlns:x15="http://schemas.microsoft.com/office/spreadsheetml/2010/11/main" uri="{B97F6D7D-B522-45F9-BDA1-12C45D357490}">
          <x15:cacheHierarchy aggregatedColumn="6"/>
        </ext>
      </extLst>
    </cacheHierarchy>
  </cacheHierarchies>
  <kpis count="0"/>
  <dimensions count="4">
    <dimension name="MainTable" uniqueName="[MainTable]" caption="MainTable"/>
    <dimension measure="1" name="Measures" uniqueName="[Measures]" caption="Measures"/>
    <dimension name="Range" uniqueName="[Range]" caption="Range"/>
    <dimension name="SmallTable" uniqueName="[SmallTable]" caption="SmallTable"/>
  </dimensions>
  <measureGroups count="3">
    <measureGroup name="MainTable" caption="MainTable"/>
    <measureGroup name="Range" caption="Range"/>
    <measureGroup name="SmallTable" caption="SmallTable"/>
  </measureGroups>
  <maps count="4">
    <map measureGroup="0" dimension="0"/>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42.041708912038" backgroundQuery="1" createdVersion="8" refreshedVersion="8" minRefreshableVersion="3" recordCount="0" supportSubquery="1" supportAdvancedDrill="1" xr:uid="{CD1F95D8-C171-4CAF-BFB2-ED5F6AE5CC3B}">
  <cacheSource type="external" connectionId="1"/>
  <cacheFields count="5">
    <cacheField name="[Range].[Customers].[Customers]" caption="Customers" numFmtId="0" hierarchy="15" level="1">
      <sharedItems count="7">
        <s v="rania"/>
        <s v="lama"/>
        <s v="dania"/>
        <s v="mert"/>
        <s v="mazen"/>
        <s v="fadel"/>
        <s v="lana"/>
      </sharedItems>
    </cacheField>
    <cacheField name="[Range].[City].[City]" caption="City" numFmtId="0" hierarchy="18" level="1">
      <sharedItems count="5">
        <s v="berlin"/>
        <s v="dubi"/>
        <s v="istanbul"/>
        <s v="egypt"/>
        <s v="london"/>
      </sharedItems>
    </cacheField>
    <cacheField name="[Range].[percentage of sales].[percentage of sales]" caption="percentage of sales" numFmtId="0" hierarchy="17" level="1">
      <sharedItems containsSemiMixedTypes="0" containsString="0" containsNumber="1" minValue="0.21810313906533832" maxValue="1" count="7">
        <n v="0.21810313906533832"/>
        <n v="0.25615224114713581"/>
        <n v="0.26934111594776411"/>
        <n v="0.35719259156106398"/>
        <n v="0.37435008665511266"/>
        <n v="0.60598469974950919"/>
        <n v="1"/>
      </sharedItems>
    </cacheField>
    <cacheField name="[Range].[Type of customer].[Type of customer]" caption="Type of customer" numFmtId="0" hierarchy="16" level="1">
      <sharedItems count="2">
        <s v="Good Customer"/>
        <s v="Normal Customer"/>
      </sharedItems>
    </cacheField>
    <cacheField name="[Measures].[Sum of Total sales]" caption="Sum of Total sales" numFmtId="0" hierarchy="30" level="32767"/>
  </cacheFields>
  <cacheHierarchies count="38">
    <cacheHierarchy uniqueName="[MainTable].[Customers]" caption="Customers" attribute="1" defaultMemberUniqueName="[MainTable].[Customers].[All]" allUniqueName="[MainTable].[Customers].[All]" dimensionUniqueName="[MainTable]" displayFolder="" count="0" memberValueDatatype="130" unbalanced="0"/>
    <cacheHierarchy uniqueName="[MainTable].[Type of sale]" caption="Type of sale" attribute="1" defaultMemberUniqueName="[MainTable].[Type of sale].[All]" allUniqueName="[MainTable].[Type of sale].[All]" dimensionUniqueName="[MainTable]" displayFolder="" count="0" memberValueDatatype="130" unbalanced="0"/>
    <cacheHierarchy uniqueName="[MainTable].[The price]" caption="The price" attribute="1" defaultMemberUniqueName="[MainTable].[The price].[All]" allUniqueName="[MainTable].[The price].[All]" dimensionUniqueName="[MainTable]" displayFolder="" count="0" memberValueDatatype="20" unbalanced="0"/>
    <cacheHierarchy uniqueName="[MainTable].[Date]" caption="Date" attribute="1" time="1" defaultMemberUniqueName="[MainTable].[Date].[All]" allUniqueName="[MainTable].[Date].[All]" dimensionUniqueName="[MainTable]" displayFolder="" count="0" memberValueDatatype="7" unbalanced="0"/>
    <cacheHierarchy uniqueName="[MainTable].[Net profit]" caption="Net profit" attribute="1" defaultMemberUniqueName="[MainTable].[Net profit].[All]" allUniqueName="[MainTable].[Net profit].[All]" dimensionUniqueName="[MainTable]" displayFolder="" count="0" memberValueDatatype="5" unbalanced="0"/>
    <cacheHierarchy uniqueName="[MainTable].[City]" caption="City" attribute="1" defaultMemberUniqueName="[MainTable].[City].[All]" allUniqueName="[MainTable].[City].[All]" dimensionUniqueName="[MainTable]" displayFolder="" count="0" memberValueDatatype="130" unbalanced="0"/>
    <cacheHierarchy uniqueName="[MainTable].[the tax]" caption="the tax" attribute="1" defaultMemberUniqueName="[MainTable].[the tax].[All]" allUniqueName="[MainTable].[the tax].[All]" dimensionUniqueName="[MainTable]" displayFolder="" count="0" memberValueDatatype="5" unbalanced="0"/>
    <cacheHierarchy uniqueName="[MainTable].[collection date]" caption="collection date" attribute="1" time="1" defaultMemberUniqueName="[MainTable].[collection date].[All]" allUniqueName="[MainTable].[collection date].[All]" dimensionUniqueName="[MainTable]" displayFolder="" count="0" memberValueDatatype="7" unbalanced="0"/>
    <cacheHierarchy uniqueName="[MainTable].[Number of days remaining]" caption="Number of days remaining" attribute="1" defaultMemberUniqueName="[MainTable].[Number of days remaining].[All]" allUniqueName="[MainTable].[Number of days remaining].[All]" dimensionUniqueName="[MainTable]" displayFolder="" count="0" memberValueDatatype="20" unbalanced="0"/>
    <cacheHierarchy uniqueName="[MainTable].[Type of the jewelry]" caption="Type of the jewelry" attribute="1" defaultMemberUniqueName="[MainTable].[Type of the jewelry].[All]" allUniqueName="[MainTable].[Type of the jewelry].[All]" dimensionUniqueName="[MainTable]" displayFolder="" count="0" memberValueDatatype="130" unbalanced="0"/>
    <cacheHierarchy uniqueName="[MainTable].[Date (Month)]" caption="Date (Month)" attribute="1" defaultMemberUniqueName="[MainTable].[Date (Month)].[All]" allUniqueName="[MainTable].[Date (Month)].[All]" dimensionUniqueName="[MainTable]" displayFolder="" count="0" memberValueDatatype="130" unbalanced="0"/>
    <cacheHierarchy uniqueName="[MainTable].[Date (Quarter)]" caption="Date (Quarter)" attribute="1" defaultMemberUniqueName="[MainTable].[Date (Quarter)].[All]" allUniqueName="[MainTable].[Date (Quarter)].[All]" dimensionUniqueName="[MainTable]" displayFolder="" count="0" memberValueDatatype="130" unbalanced="0"/>
    <cacheHierarchy uniqueName="[MainTable].[Date (Day)]" caption="Date (Day)" attribute="1" defaultMemberUniqueName="[MainTable].[Date (Day)].[All]" allUniqueName="[MainTable].[Date (Day)].[All]" dimensionUniqueName="[MainTable]" displayFolder="" count="0" memberValueDatatype="130" unbalanced="0"/>
    <cacheHierarchy uniqueName="[MainTable].[Date (Hour)]" caption="Date (Hour)" attribute="1" defaultMemberUniqueName="[MainTable].[Date (Hour)].[All]" allUniqueName="[MainTable].[Date (Hour)].[All]" dimensionUniqueName="[MainTable]" displayFolder="" count="0" memberValueDatatype="130" unbalanced="0"/>
    <cacheHierarchy uniqueName="[Range].[Total sales]" caption="Total sales" attribute="1" defaultMemberUniqueName="[Range].[Total sales].[All]" allUniqueName="[Range].[Total sales].[All]" dimensionUniqueName="[Range]" displayFolder="" count="0" memberValueDatatype="5" unbalanced="0"/>
    <cacheHierarchy uniqueName="[Range].[Customers]" caption="Customers" attribute="1" defaultMemberUniqueName="[Range].[Customers].[All]" allUniqueName="[Range].[Customers].[All]" dimensionUniqueName="[Range]" displayFolder="" count="2" memberValueDatatype="130" unbalanced="0">
      <fieldsUsage count="2">
        <fieldUsage x="-1"/>
        <fieldUsage x="0"/>
      </fieldsUsage>
    </cacheHierarchy>
    <cacheHierarchy uniqueName="[Range].[Type of customer]" caption="Type of customer" attribute="1" defaultMemberUniqueName="[Range].[Type of customer].[All]" allUniqueName="[Range].[Type of customer].[All]" dimensionUniqueName="[Range]" displayFolder="" count="2" memberValueDatatype="130" unbalanced="0">
      <fieldsUsage count="2">
        <fieldUsage x="-1"/>
        <fieldUsage x="3"/>
      </fieldsUsage>
    </cacheHierarchy>
    <cacheHierarchy uniqueName="[Range].[percentage of sales]" caption="percentage of sales" attribute="1" defaultMemberUniqueName="[Range].[percentage of sales].[All]" allUniqueName="[Range].[percentage of sales].[All]" dimensionUniqueName="[Range]" displayFolder="" count="2" memberValueDatatype="5" unbalanced="0">
      <fieldsUsage count="2">
        <fieldUsage x="-1"/>
        <fieldUsage x="2"/>
      </fieldsUsage>
    </cacheHierarchy>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SmallTable].[Total sales]" caption="Total sales" attribute="1" defaultMemberUniqueName="[SmallTable].[Total sales].[All]" allUniqueName="[SmallTable].[Total sales].[All]" dimensionUniqueName="[SmallTable]" displayFolder="" count="0" memberValueDatatype="5" unbalanced="0"/>
    <cacheHierarchy uniqueName="[SmallTable].[Customers]" caption="Customers" attribute="1" defaultMemberUniqueName="[SmallTable].[Customers].[All]" allUniqueName="[SmallTable].[Customers].[All]" dimensionUniqueName="[SmallTable]" displayFolder="" count="0" memberValueDatatype="130" unbalanced="0"/>
    <cacheHierarchy uniqueName="[SmallTable].[Type of customer]" caption="Type of customer" attribute="1" defaultMemberUniqueName="[SmallTable].[Type of customer].[All]" allUniqueName="[SmallTable].[Type of customer].[All]" dimensionUniqueName="[SmallTable]" displayFolder="" count="0" memberValueDatatype="130" unbalanced="0"/>
    <cacheHierarchy uniqueName="[SmallTable].[percentage of sales]" caption="percentage of sales" attribute="1" defaultMemberUniqueName="[SmallTable].[percentage of sales].[All]" allUniqueName="[SmallTable].[percentage of sales].[All]" dimensionUniqueName="[SmallTable]" displayFolder="" count="0" memberValueDatatype="5" unbalanced="0"/>
    <cacheHierarchy uniqueName="[SmallTable].[City]" caption="City" attribute="1" defaultMemberUniqueName="[SmallTable].[City].[All]" allUniqueName="[SmallTable].[City].[All]" dimensionUniqueName="[SmallTable]" displayFolder="" count="0" memberValueDatatype="130" unbalanced="0"/>
    <cacheHierarchy uniqueName="[MainTable].[Date (Day Index)]" caption="Date (Day Index)" attribute="1" defaultMemberUniqueName="[MainTable].[Date (Day Index)].[All]" allUniqueName="[MainTable].[Date (Day Index)].[All]" dimensionUniqueName="[MainTable]" displayFolder="" count="0" memberValueDatatype="5" unbalanced="0" hidden="1"/>
    <cacheHierarchy uniqueName="[MainTable].[Date (Month Index)]" caption="Date (Month Index)" attribute="1" defaultMemberUniqueName="[MainTable].[Date (Month Index)].[All]" allUniqueName="[MainTable].[Date (Month Index)].[All]" dimensionUniqueName="[MainTable]" displayFolder="" count="0" memberValueDatatype="20" unbalanced="0" hidden="1"/>
    <cacheHierarchy uniqueName="[Measures].[__XL_Count Range]" caption="__XL_Count Range" measure="1" displayFolder="" measureGroup="Range" count="0" hidden="1"/>
    <cacheHierarchy uniqueName="[Measures].[__XL_Count MainTable]" caption="__XL_Count MainTable" measure="1" displayFolder="" measureGroup="MainTable" count="0" hidden="1"/>
    <cacheHierarchy uniqueName="[Measures].[__XL_Count SmallTable]" caption="__XL_Count SmallTable" measure="1" displayFolder="" measureGroup="SmallTabl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4"/>
      </fieldsUsage>
      <extLst>
        <ext xmlns:x15="http://schemas.microsoft.com/office/spreadsheetml/2010/11/main" uri="{B97F6D7D-B522-45F9-BDA1-12C45D357490}">
          <x15:cacheHierarchy aggregatedColumn="14"/>
        </ext>
      </extLst>
    </cacheHierarchy>
    <cacheHierarchy uniqueName="[Measures].[Sum of percentage of sales]" caption="Sum of percentage of sales" measure="1" displayFolder="" measureGroup="Range" count="0" hidden="1">
      <extLst>
        <ext xmlns:x15="http://schemas.microsoft.com/office/spreadsheetml/2010/11/main" uri="{B97F6D7D-B522-45F9-BDA1-12C45D357490}">
          <x15:cacheHierarchy aggregatedColumn="17"/>
        </ext>
      </extLst>
    </cacheHierarchy>
    <cacheHierarchy uniqueName="[Measures].[Count of Type of customer]" caption="Count of Type of customer" measure="1" displayFolder="" measureGroup="Range" count="0" hidden="1">
      <extLst>
        <ext xmlns:x15="http://schemas.microsoft.com/office/spreadsheetml/2010/11/main" uri="{B97F6D7D-B522-45F9-BDA1-12C45D357490}">
          <x15:cacheHierarchy aggregatedColumn="16"/>
        </ext>
      </extLst>
    </cacheHierarchy>
    <cacheHierarchy uniqueName="[Measures].[Sum of The price]" caption="Sum of The price" measure="1" displayFolder="" measureGroup="MainTable" count="0" hidden="1">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MainTable" count="0" hidden="1">
      <extLst>
        <ext xmlns:x15="http://schemas.microsoft.com/office/spreadsheetml/2010/11/main" uri="{B97F6D7D-B522-45F9-BDA1-12C45D357490}">
          <x15:cacheHierarchy aggregatedColumn="4"/>
        </ext>
      </extLst>
    </cacheHierarchy>
    <cacheHierarchy uniqueName="[Measures].[Sum of Total sales 2]" caption="Sum of Total sales 2" measure="1" displayFolder="" measureGroup="SmallTable" count="0" hidden="1">
      <extLst>
        <ext xmlns:x15="http://schemas.microsoft.com/office/spreadsheetml/2010/11/main" uri="{B97F6D7D-B522-45F9-BDA1-12C45D357490}">
          <x15:cacheHierarchy aggregatedColumn="19"/>
        </ext>
      </extLst>
    </cacheHierarchy>
    <cacheHierarchy uniqueName="[Measures].[Sum of percentage of sales 2]" caption="Sum of percentage of sales 2" measure="1" displayFolder="" measureGroup="SmallTable" count="0" hidden="1">
      <extLst>
        <ext xmlns:x15="http://schemas.microsoft.com/office/spreadsheetml/2010/11/main" uri="{B97F6D7D-B522-45F9-BDA1-12C45D357490}">
          <x15:cacheHierarchy aggregatedColumn="22"/>
        </ext>
      </extLst>
    </cacheHierarchy>
    <cacheHierarchy uniqueName="[Measures].[Sum of the tax]" caption="Sum of the tax" measure="1" displayFolder="" measureGroup="MainTable" count="0" hidden="1">
      <extLst>
        <ext xmlns:x15="http://schemas.microsoft.com/office/spreadsheetml/2010/11/main" uri="{B97F6D7D-B522-45F9-BDA1-12C45D357490}">
          <x15:cacheHierarchy aggregatedColumn="6"/>
        </ext>
      </extLst>
    </cacheHierarchy>
  </cacheHierarchies>
  <kpis count="0"/>
  <dimensions count="4">
    <dimension name="MainTable" uniqueName="[MainTable]" caption="MainTable"/>
    <dimension measure="1" name="Measures" uniqueName="[Measures]" caption="Measures"/>
    <dimension name="Range" uniqueName="[Range]" caption="Range"/>
    <dimension name="SmallTable" uniqueName="[SmallTable]" caption="SmallTable"/>
  </dimensions>
  <measureGroups count="3">
    <measureGroup name="MainTable" caption="MainTable"/>
    <measureGroup name="Range" caption="Range"/>
    <measureGroup name="SmallTable" caption="SmallTable"/>
  </measureGroups>
  <maps count="4">
    <map measureGroup="0" dimension="0"/>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42.041716898151" backgroundQuery="1" createdVersion="8" refreshedVersion="8" minRefreshableVersion="3" recordCount="0" supportSubquery="1" supportAdvancedDrill="1" xr:uid="{8A51A3A6-7557-405F-A4A4-5885E8B0227F}">
  <cacheSource type="external" connectionId="1"/>
  <cacheFields count="3">
    <cacheField name="[Measures].[Sum of Net profit]" caption="Sum of Net profit" numFmtId="0" hierarchy="34" level="32767"/>
    <cacheField name="[MainTable].[Customers].[Customers]" caption="Customers" numFmtId="0" level="1">
      <sharedItems count="3">
        <s v="dania"/>
        <s v="mazen"/>
        <s v="mert" u="1"/>
      </sharedItems>
    </cacheField>
    <cacheField name="[MainTable].[City].[City]" caption="City" numFmtId="0" hierarchy="5" level="1">
      <sharedItems count="3">
        <s v="istanbul"/>
        <s v="egybt" u="1"/>
        <s v="egypt" u="1"/>
      </sharedItems>
    </cacheField>
  </cacheFields>
  <cacheHierarchies count="38">
    <cacheHierarchy uniqueName="[MainTable].[Customers]" caption="Customers" attribute="1" defaultMemberUniqueName="[MainTable].[Customers].[All]" allUniqueName="[MainTable].[Customers].[All]" dimensionUniqueName="[MainTable]" displayFolder="" count="2" memberValueDatatype="130" unbalanced="0">
      <fieldsUsage count="2">
        <fieldUsage x="-1"/>
        <fieldUsage x="1"/>
      </fieldsUsage>
    </cacheHierarchy>
    <cacheHierarchy uniqueName="[MainTable].[Type of sale]" caption="Type of sale" attribute="1" defaultMemberUniqueName="[MainTable].[Type of sale].[All]" allUniqueName="[MainTable].[Type of sale].[All]" dimensionUniqueName="[MainTable]" displayFolder="" count="0" memberValueDatatype="130" unbalanced="0"/>
    <cacheHierarchy uniqueName="[MainTable].[The price]" caption="The price" attribute="1" defaultMemberUniqueName="[MainTable].[The price].[All]" allUniqueName="[MainTable].[The price].[All]" dimensionUniqueName="[MainTable]" displayFolder="" count="0" memberValueDatatype="20" unbalanced="0"/>
    <cacheHierarchy uniqueName="[MainTable].[Date]" caption="Date" attribute="1" time="1" defaultMemberUniqueName="[MainTable].[Date].[All]" allUniqueName="[MainTable].[Date].[All]" dimensionUniqueName="[MainTable]" displayFolder="" count="0" memberValueDatatype="7" unbalanced="0"/>
    <cacheHierarchy uniqueName="[MainTable].[Net profit]" caption="Net profit" attribute="1" defaultMemberUniqueName="[MainTable].[Net profit].[All]" allUniqueName="[MainTable].[Net profit].[All]" dimensionUniqueName="[MainTable]" displayFolder="" count="0" memberValueDatatype="5" unbalanced="0"/>
    <cacheHierarchy uniqueName="[MainTable].[City]" caption="City" attribute="1" defaultMemberUniqueName="[MainTable].[City].[All]" allUniqueName="[MainTable].[City].[All]" dimensionUniqueName="[MainTable]" displayFolder="" count="2" memberValueDatatype="130" unbalanced="0">
      <fieldsUsage count="2">
        <fieldUsage x="-1"/>
        <fieldUsage x="2"/>
      </fieldsUsage>
    </cacheHierarchy>
    <cacheHierarchy uniqueName="[MainTable].[the tax]" caption="the tax" attribute="1" defaultMemberUniqueName="[MainTable].[the tax].[All]" allUniqueName="[MainTable].[the tax].[All]" dimensionUniqueName="[MainTable]" displayFolder="" count="0" memberValueDatatype="5" unbalanced="0"/>
    <cacheHierarchy uniqueName="[MainTable].[collection date]" caption="collection date" attribute="1" time="1" defaultMemberUniqueName="[MainTable].[collection date].[All]" allUniqueName="[MainTable].[collection date].[All]" dimensionUniqueName="[MainTable]" displayFolder="" count="0" memberValueDatatype="7" unbalanced="0"/>
    <cacheHierarchy uniqueName="[MainTable].[Number of days remaining]" caption="Number of days remaining" attribute="1" defaultMemberUniqueName="[MainTable].[Number of days remaining].[All]" allUniqueName="[MainTable].[Number of days remaining].[All]" dimensionUniqueName="[MainTable]" displayFolder="" count="0" memberValueDatatype="20" unbalanced="0"/>
    <cacheHierarchy uniqueName="[MainTable].[Type of the jewelry]" caption="Type of the jewelry" attribute="1" defaultMemberUniqueName="[MainTable].[Type of the jewelry].[All]" allUniqueName="[MainTable].[Type of the jewelry].[All]" dimensionUniqueName="[MainTable]" displayFolder="" count="0" memberValueDatatype="130" unbalanced="0"/>
    <cacheHierarchy uniqueName="[MainTable].[Date (Month)]" caption="Date (Month)" attribute="1" defaultMemberUniqueName="[MainTable].[Date (Month)].[All]" allUniqueName="[MainTable].[Date (Month)].[All]" dimensionUniqueName="[MainTable]" displayFolder="" count="0" memberValueDatatype="130" unbalanced="0"/>
    <cacheHierarchy uniqueName="[MainTable].[Date (Quarter)]" caption="Date (Quarter)" attribute="1" defaultMemberUniqueName="[MainTable].[Date (Quarter)].[All]" allUniqueName="[MainTable].[Date (Quarter)].[All]" dimensionUniqueName="[MainTable]" displayFolder="" count="0" memberValueDatatype="130" unbalanced="0"/>
    <cacheHierarchy uniqueName="[MainTable].[Date (Day)]" caption="Date (Day)" attribute="1" defaultMemberUniqueName="[MainTable].[Date (Day)].[All]" allUniqueName="[MainTable].[Date (Day)].[All]" dimensionUniqueName="[MainTable]" displayFolder="" count="0" memberValueDatatype="130" unbalanced="0"/>
    <cacheHierarchy uniqueName="[MainTable].[Date (Hour)]" caption="Date (Hour)" attribute="1" defaultMemberUniqueName="[MainTable].[Date (Hour)].[All]" allUniqueName="[MainTable].[Date (Hour)].[All]" dimensionUniqueName="[MainTable]" displayFolder="" count="0" memberValueDatatype="130" unbalanced="0"/>
    <cacheHierarchy uniqueName="[Range].[Total sales]" caption="Total sales" attribute="1" defaultMemberUniqueName="[Range].[Total sales].[All]" allUniqueName="[Range].[Total sales].[All]" dimensionUniqueName="[Range]" displayFolder="" count="0" memberValueDatatype="5" unbalanced="0"/>
    <cacheHierarchy uniqueName="[Range].[Customers]" caption="Customers" attribute="1" defaultMemberUniqueName="[Range].[Customers].[All]" allUniqueName="[Range].[Customers].[All]" dimensionUniqueName="[Range]" displayFolder="" count="0" memberValueDatatype="130" unbalanced="0"/>
    <cacheHierarchy uniqueName="[Range].[Type of customer]" caption="Type of customer" attribute="1" defaultMemberUniqueName="[Range].[Type of customer].[All]" allUniqueName="[Range].[Type of customer].[All]" dimensionUniqueName="[Range]" displayFolder="" count="0" memberValueDatatype="130" unbalanced="0"/>
    <cacheHierarchy uniqueName="[Range].[percentage of sales]" caption="percentage of sales" attribute="1" defaultMemberUniqueName="[Range].[percentage of sales].[All]" allUniqueName="[Range].[percentage of sales].[All]" dimensionUniqueName="[Range]" displayFolder="" count="0" memberValueDatatype="5" unbalanced="0"/>
    <cacheHierarchy uniqueName="[Range].[City]" caption="City" attribute="1" defaultMemberUniqueName="[Range].[City].[All]" allUniqueName="[Range].[City].[All]" dimensionUniqueName="[Range]" displayFolder="" count="0" memberValueDatatype="130" unbalanced="0"/>
    <cacheHierarchy uniqueName="[SmallTable].[Total sales]" caption="Total sales" attribute="1" defaultMemberUniqueName="[SmallTable].[Total sales].[All]" allUniqueName="[SmallTable].[Total sales].[All]" dimensionUniqueName="[SmallTable]" displayFolder="" count="0" memberValueDatatype="5" unbalanced="0"/>
    <cacheHierarchy uniqueName="[SmallTable].[Customers]" caption="Customers" attribute="1" defaultMemberUniqueName="[SmallTable].[Customers].[All]" allUniqueName="[SmallTable].[Customers].[All]" dimensionUniqueName="[SmallTable]" displayFolder="" count="0" memberValueDatatype="130" unbalanced="0"/>
    <cacheHierarchy uniqueName="[SmallTable].[Type of customer]" caption="Type of customer" attribute="1" defaultMemberUniqueName="[SmallTable].[Type of customer].[All]" allUniqueName="[SmallTable].[Type of customer].[All]" dimensionUniqueName="[SmallTable]" displayFolder="" count="0" memberValueDatatype="130" unbalanced="0"/>
    <cacheHierarchy uniqueName="[SmallTable].[percentage of sales]" caption="percentage of sales" attribute="1" defaultMemberUniqueName="[SmallTable].[percentage of sales].[All]" allUniqueName="[SmallTable].[percentage of sales].[All]" dimensionUniqueName="[SmallTable]" displayFolder="" count="0" memberValueDatatype="5" unbalanced="0"/>
    <cacheHierarchy uniqueName="[SmallTable].[City]" caption="City" attribute="1" defaultMemberUniqueName="[SmallTable].[City].[All]" allUniqueName="[SmallTable].[City].[All]" dimensionUniqueName="[SmallTable]" displayFolder="" count="0" memberValueDatatype="130" unbalanced="0"/>
    <cacheHierarchy uniqueName="[MainTable].[Date (Day Index)]" caption="Date (Day Index)" attribute="1" defaultMemberUniqueName="[MainTable].[Date (Day Index)].[All]" allUniqueName="[MainTable].[Date (Day Index)].[All]" dimensionUniqueName="[MainTable]" displayFolder="" count="0" memberValueDatatype="5" unbalanced="0" hidden="1"/>
    <cacheHierarchy uniqueName="[MainTable].[Date (Month Index)]" caption="Date (Month Index)" attribute="1" defaultMemberUniqueName="[MainTable].[Date (Month Index)].[All]" allUniqueName="[MainTable].[Date (Month Index)].[All]" dimensionUniqueName="[MainTable]" displayFolder="" count="0" memberValueDatatype="20" unbalanced="0" hidden="1"/>
    <cacheHierarchy uniqueName="[Measures].[__XL_Count Range]" caption="__XL_Count Range" measure="1" displayFolder="" measureGroup="Range" count="0" hidden="1"/>
    <cacheHierarchy uniqueName="[Measures].[__XL_Count MainTable]" caption="__XL_Count MainTable" measure="1" displayFolder="" measureGroup="MainTable" count="0" hidden="1"/>
    <cacheHierarchy uniqueName="[Measures].[__XL_Count SmallTable]" caption="__XL_Count SmallTable" measure="1" displayFolder="" measureGroup="SmallTabl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14"/>
        </ext>
      </extLst>
    </cacheHierarchy>
    <cacheHierarchy uniqueName="[Measures].[Sum of percentage of sales]" caption="Sum of percentage of sales" measure="1" displayFolder="" measureGroup="Range" count="0" hidden="1">
      <extLst>
        <ext xmlns:x15="http://schemas.microsoft.com/office/spreadsheetml/2010/11/main" uri="{B97F6D7D-B522-45F9-BDA1-12C45D357490}">
          <x15:cacheHierarchy aggregatedColumn="17"/>
        </ext>
      </extLst>
    </cacheHierarchy>
    <cacheHierarchy uniqueName="[Measures].[Count of Type of customer]" caption="Count of Type of customer" measure="1" displayFolder="" measureGroup="Range" count="0" hidden="1">
      <extLst>
        <ext xmlns:x15="http://schemas.microsoft.com/office/spreadsheetml/2010/11/main" uri="{B97F6D7D-B522-45F9-BDA1-12C45D357490}">
          <x15:cacheHierarchy aggregatedColumn="16"/>
        </ext>
      </extLst>
    </cacheHierarchy>
    <cacheHierarchy uniqueName="[Measures].[Sum of The price]" caption="Sum of The price" measure="1" displayFolder="" measureGroup="MainTable" count="0" hidden="1">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MainTable"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Total sales 2]" caption="Sum of Total sales 2" measure="1" displayFolder="" measureGroup="SmallTable" count="0" hidden="1">
      <extLst>
        <ext xmlns:x15="http://schemas.microsoft.com/office/spreadsheetml/2010/11/main" uri="{B97F6D7D-B522-45F9-BDA1-12C45D357490}">
          <x15:cacheHierarchy aggregatedColumn="19"/>
        </ext>
      </extLst>
    </cacheHierarchy>
    <cacheHierarchy uniqueName="[Measures].[Sum of percentage of sales 2]" caption="Sum of percentage of sales 2" measure="1" displayFolder="" measureGroup="SmallTable" count="0" hidden="1">
      <extLst>
        <ext xmlns:x15="http://schemas.microsoft.com/office/spreadsheetml/2010/11/main" uri="{B97F6D7D-B522-45F9-BDA1-12C45D357490}">
          <x15:cacheHierarchy aggregatedColumn="22"/>
        </ext>
      </extLst>
    </cacheHierarchy>
    <cacheHierarchy uniqueName="[Measures].[Sum of the tax]" caption="Sum of the tax" measure="1" displayFolder="" measureGroup="MainTable" count="0" hidden="1">
      <extLst>
        <ext xmlns:x15="http://schemas.microsoft.com/office/spreadsheetml/2010/11/main" uri="{B97F6D7D-B522-45F9-BDA1-12C45D357490}">
          <x15:cacheHierarchy aggregatedColumn="6"/>
        </ext>
      </extLst>
    </cacheHierarchy>
  </cacheHierarchies>
  <kpis count="0"/>
  <dimensions count="4">
    <dimension name="MainTable" uniqueName="[MainTable]" caption="MainTable"/>
    <dimension measure="1" name="Measures" uniqueName="[Measures]" caption="Measures"/>
    <dimension name="Range" uniqueName="[Range]" caption="Range"/>
    <dimension name="SmallTable" uniqueName="[SmallTable]" caption="SmallTable"/>
  </dimensions>
  <measureGroups count="3">
    <measureGroup name="MainTable" caption="MainTable"/>
    <measureGroup name="Range" caption="Range"/>
    <measureGroup name="SmallTable" caption="SmallTable"/>
  </measureGroups>
  <maps count="4">
    <map measureGroup="0" dimension="0"/>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42.041720138892" backgroundQuery="1" createdVersion="8" refreshedVersion="8" minRefreshableVersion="3" recordCount="0" supportSubquery="1" supportAdvancedDrill="1" xr:uid="{441FB05F-C58A-4F60-95C7-8FDC0B57ACE0}">
  <cacheSource type="external" connectionId="1"/>
  <cacheFields count="4">
    <cacheField name="[SmallTable].[Type of customer].[Type of customer]" caption="Type of customer" numFmtId="0" hierarchy="21" level="1">
      <sharedItems count="2">
        <s v="Good Customer"/>
        <s v="Normal Customer"/>
      </sharedItems>
    </cacheField>
    <cacheField name="[Measures].[Sum of Net profit]" caption="Sum of Net profit" numFmtId="0" hierarchy="34" level="32767"/>
    <cacheField name="[MainTable].[City].[City]" caption="City" numFmtId="0" hierarchy="5" level="1">
      <sharedItems containsSemiMixedTypes="0" containsNonDate="0" containsString="0"/>
    </cacheField>
    <cacheField name="[MainTable].[Customers].[Customers]" caption="Customers" numFmtId="0" level="1">
      <sharedItems containsSemiMixedTypes="0" containsNonDate="0" containsString="0"/>
    </cacheField>
  </cacheFields>
  <cacheHierarchies count="38">
    <cacheHierarchy uniqueName="[MainTable].[Customers]" caption="Customers" attribute="1" defaultMemberUniqueName="[MainTable].[Customers].[All]" allUniqueName="[MainTable].[Customers].[All]" dimensionUniqueName="[MainTable]" displayFolder="" count="2" memberValueDatatype="130" unbalanced="0">
      <fieldsUsage count="2">
        <fieldUsage x="-1"/>
        <fieldUsage x="3"/>
      </fieldsUsage>
    </cacheHierarchy>
    <cacheHierarchy uniqueName="[MainTable].[Type of sale]" caption="Type of sale" attribute="1" defaultMemberUniqueName="[MainTable].[Type of sale].[All]" allUniqueName="[MainTable].[Type of sale].[All]" dimensionUniqueName="[MainTable]" displayFolder="" count="0" memberValueDatatype="130" unbalanced="0"/>
    <cacheHierarchy uniqueName="[MainTable].[The price]" caption="The price" attribute="1" defaultMemberUniqueName="[MainTable].[The price].[All]" allUniqueName="[MainTable].[The price].[All]" dimensionUniqueName="[MainTable]" displayFolder="" count="0" memberValueDatatype="20" unbalanced="0"/>
    <cacheHierarchy uniqueName="[MainTable].[Date]" caption="Date" attribute="1" time="1" defaultMemberUniqueName="[MainTable].[Date].[All]" allUniqueName="[MainTable].[Date].[All]" dimensionUniqueName="[MainTable]" displayFolder="" count="0" memberValueDatatype="7" unbalanced="0"/>
    <cacheHierarchy uniqueName="[MainTable].[Net profit]" caption="Net profit" attribute="1" defaultMemberUniqueName="[MainTable].[Net profit].[All]" allUniqueName="[MainTable].[Net profit].[All]" dimensionUniqueName="[MainTable]" displayFolder="" count="0" memberValueDatatype="5" unbalanced="0"/>
    <cacheHierarchy uniqueName="[MainTable].[City]" caption="City" attribute="1" defaultMemberUniqueName="[MainTable].[City].[All]" allUniqueName="[MainTable].[City].[All]" dimensionUniqueName="[MainTable]" displayFolder="" count="2" memberValueDatatype="130" unbalanced="0">
      <fieldsUsage count="2">
        <fieldUsage x="-1"/>
        <fieldUsage x="2"/>
      </fieldsUsage>
    </cacheHierarchy>
    <cacheHierarchy uniqueName="[MainTable].[the tax]" caption="the tax" attribute="1" defaultMemberUniqueName="[MainTable].[the tax].[All]" allUniqueName="[MainTable].[the tax].[All]" dimensionUniqueName="[MainTable]" displayFolder="" count="0" memberValueDatatype="5" unbalanced="0"/>
    <cacheHierarchy uniqueName="[MainTable].[collection date]" caption="collection date" attribute="1" time="1" defaultMemberUniqueName="[MainTable].[collection date].[All]" allUniqueName="[MainTable].[collection date].[All]" dimensionUniqueName="[MainTable]" displayFolder="" count="0" memberValueDatatype="7" unbalanced="0"/>
    <cacheHierarchy uniqueName="[MainTable].[Number of days remaining]" caption="Number of days remaining" attribute="1" defaultMemberUniqueName="[MainTable].[Number of days remaining].[All]" allUniqueName="[MainTable].[Number of days remaining].[All]" dimensionUniqueName="[MainTable]" displayFolder="" count="0" memberValueDatatype="20" unbalanced="0"/>
    <cacheHierarchy uniqueName="[MainTable].[Type of the jewelry]" caption="Type of the jewelry" attribute="1" defaultMemberUniqueName="[MainTable].[Type of the jewelry].[All]" allUniqueName="[MainTable].[Type of the jewelry].[All]" dimensionUniqueName="[MainTable]" displayFolder="" count="0" memberValueDatatype="130" unbalanced="0"/>
    <cacheHierarchy uniqueName="[MainTable].[Date (Month)]" caption="Date (Month)" attribute="1" defaultMemberUniqueName="[MainTable].[Date (Month)].[All]" allUniqueName="[MainTable].[Date (Month)].[All]" dimensionUniqueName="[MainTable]" displayFolder="" count="0" memberValueDatatype="130" unbalanced="0"/>
    <cacheHierarchy uniqueName="[MainTable].[Date (Quarter)]" caption="Date (Quarter)" attribute="1" defaultMemberUniqueName="[MainTable].[Date (Quarter)].[All]" allUniqueName="[MainTable].[Date (Quarter)].[All]" dimensionUniqueName="[MainTable]" displayFolder="" count="0" memberValueDatatype="130" unbalanced="0"/>
    <cacheHierarchy uniqueName="[MainTable].[Date (Day)]" caption="Date (Day)" attribute="1" defaultMemberUniqueName="[MainTable].[Date (Day)].[All]" allUniqueName="[MainTable].[Date (Day)].[All]" dimensionUniqueName="[MainTable]" displayFolder="" count="0" memberValueDatatype="130" unbalanced="0"/>
    <cacheHierarchy uniqueName="[MainTable].[Date (Hour)]" caption="Date (Hour)" attribute="1" defaultMemberUniqueName="[MainTable].[Date (Hour)].[All]" allUniqueName="[MainTable].[Date (Hour)].[All]" dimensionUniqueName="[MainTable]" displayFolder="" count="0" memberValueDatatype="130" unbalanced="0"/>
    <cacheHierarchy uniqueName="[Range].[Total sales]" caption="Total sales" attribute="1" defaultMemberUniqueName="[Range].[Total sales].[All]" allUniqueName="[Range].[Total sales].[All]" dimensionUniqueName="[Range]" displayFolder="" count="0" memberValueDatatype="5" unbalanced="0"/>
    <cacheHierarchy uniqueName="[Range].[Customers]" caption="Customers" attribute="1" defaultMemberUniqueName="[Range].[Customers].[All]" allUniqueName="[Range].[Customers].[All]" dimensionUniqueName="[Range]" displayFolder="" count="0" memberValueDatatype="130" unbalanced="0"/>
    <cacheHierarchy uniqueName="[Range].[Type of customer]" caption="Type of customer" attribute="1" defaultMemberUniqueName="[Range].[Type of customer].[All]" allUniqueName="[Range].[Type of customer].[All]" dimensionUniqueName="[Range]" displayFolder="" count="0" memberValueDatatype="130" unbalanced="0"/>
    <cacheHierarchy uniqueName="[Range].[percentage of sales]" caption="percentage of sales" attribute="1" defaultMemberUniqueName="[Range].[percentage of sales].[All]" allUniqueName="[Range].[percentage of sales].[All]" dimensionUniqueName="[Range]" displayFolder="" count="0" memberValueDatatype="5" unbalanced="0"/>
    <cacheHierarchy uniqueName="[Range].[City]" caption="City" attribute="1" defaultMemberUniqueName="[Range].[City].[All]" allUniqueName="[Range].[City].[All]" dimensionUniqueName="[Range]" displayFolder="" count="0" memberValueDatatype="130" unbalanced="0"/>
    <cacheHierarchy uniqueName="[SmallTable].[Total sales]" caption="Total sales" attribute="1" defaultMemberUniqueName="[SmallTable].[Total sales].[All]" allUniqueName="[SmallTable].[Total sales].[All]" dimensionUniqueName="[SmallTable]" displayFolder="" count="0" memberValueDatatype="5" unbalanced="0"/>
    <cacheHierarchy uniqueName="[SmallTable].[Customers]" caption="Customers" attribute="1" defaultMemberUniqueName="[SmallTable].[Customers].[All]" allUniqueName="[SmallTable].[Customers].[All]" dimensionUniqueName="[SmallTable]" displayFolder="" count="0" memberValueDatatype="130" unbalanced="0"/>
    <cacheHierarchy uniqueName="[SmallTable].[Type of customer]" caption="Type of customer" attribute="1" defaultMemberUniqueName="[SmallTable].[Type of customer].[All]" allUniqueName="[SmallTable].[Type of customer].[All]" dimensionUniqueName="[SmallTable]" displayFolder="" count="2" memberValueDatatype="130" unbalanced="0">
      <fieldsUsage count="2">
        <fieldUsage x="-1"/>
        <fieldUsage x="0"/>
      </fieldsUsage>
    </cacheHierarchy>
    <cacheHierarchy uniqueName="[SmallTable].[percentage of sales]" caption="percentage of sales" attribute="1" defaultMemberUniqueName="[SmallTable].[percentage of sales].[All]" allUniqueName="[SmallTable].[percentage of sales].[All]" dimensionUniqueName="[SmallTable]" displayFolder="" count="0" memberValueDatatype="5" unbalanced="0"/>
    <cacheHierarchy uniqueName="[SmallTable].[City]" caption="City" attribute="1" defaultMemberUniqueName="[SmallTable].[City].[All]" allUniqueName="[SmallTable].[City].[All]" dimensionUniqueName="[SmallTable]" displayFolder="" count="0" memberValueDatatype="130" unbalanced="0"/>
    <cacheHierarchy uniqueName="[MainTable].[Date (Day Index)]" caption="Date (Day Index)" attribute="1" defaultMemberUniqueName="[MainTable].[Date (Day Index)].[All]" allUniqueName="[MainTable].[Date (Day Index)].[All]" dimensionUniqueName="[MainTable]" displayFolder="" count="0" memberValueDatatype="5" unbalanced="0" hidden="1"/>
    <cacheHierarchy uniqueName="[MainTable].[Date (Month Index)]" caption="Date (Month Index)" attribute="1" defaultMemberUniqueName="[MainTable].[Date (Month Index)].[All]" allUniqueName="[MainTable].[Date (Month Index)].[All]" dimensionUniqueName="[MainTable]" displayFolder="" count="0" memberValueDatatype="20" unbalanced="0" hidden="1"/>
    <cacheHierarchy uniqueName="[Measures].[__XL_Count Range]" caption="__XL_Count Range" measure="1" displayFolder="" measureGroup="Range" count="0" hidden="1"/>
    <cacheHierarchy uniqueName="[Measures].[__XL_Count MainTable]" caption="__XL_Count MainTable" measure="1" displayFolder="" measureGroup="MainTable" count="0" hidden="1"/>
    <cacheHierarchy uniqueName="[Measures].[__XL_Count SmallTable]" caption="__XL_Count SmallTable" measure="1" displayFolder="" measureGroup="SmallTabl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14"/>
        </ext>
      </extLst>
    </cacheHierarchy>
    <cacheHierarchy uniqueName="[Measures].[Sum of percentage of sales]" caption="Sum of percentage of sales" measure="1" displayFolder="" measureGroup="Range" count="0" hidden="1">
      <extLst>
        <ext xmlns:x15="http://schemas.microsoft.com/office/spreadsheetml/2010/11/main" uri="{B97F6D7D-B522-45F9-BDA1-12C45D357490}">
          <x15:cacheHierarchy aggregatedColumn="17"/>
        </ext>
      </extLst>
    </cacheHierarchy>
    <cacheHierarchy uniqueName="[Measures].[Count of Type of customer]" caption="Count of Type of customer" measure="1" displayFolder="" measureGroup="Range" count="0" hidden="1">
      <extLst>
        <ext xmlns:x15="http://schemas.microsoft.com/office/spreadsheetml/2010/11/main" uri="{B97F6D7D-B522-45F9-BDA1-12C45D357490}">
          <x15:cacheHierarchy aggregatedColumn="16"/>
        </ext>
      </extLst>
    </cacheHierarchy>
    <cacheHierarchy uniqueName="[Measures].[Sum of The price]" caption="Sum of The price" measure="1" displayFolder="" measureGroup="MainTable" count="0" hidden="1">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MainTabl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Total sales 2]" caption="Sum of Total sales 2" measure="1" displayFolder="" measureGroup="SmallTable" count="0" hidden="1">
      <extLst>
        <ext xmlns:x15="http://schemas.microsoft.com/office/spreadsheetml/2010/11/main" uri="{B97F6D7D-B522-45F9-BDA1-12C45D357490}">
          <x15:cacheHierarchy aggregatedColumn="19"/>
        </ext>
      </extLst>
    </cacheHierarchy>
    <cacheHierarchy uniqueName="[Measures].[Sum of percentage of sales 2]" caption="Sum of percentage of sales 2" measure="1" displayFolder="" measureGroup="SmallTable" count="0" hidden="1">
      <extLst>
        <ext xmlns:x15="http://schemas.microsoft.com/office/spreadsheetml/2010/11/main" uri="{B97F6D7D-B522-45F9-BDA1-12C45D357490}">
          <x15:cacheHierarchy aggregatedColumn="22"/>
        </ext>
      </extLst>
    </cacheHierarchy>
    <cacheHierarchy uniqueName="[Measures].[Sum of the tax]" caption="Sum of the tax" measure="1" displayFolder="" measureGroup="MainTable" count="0" hidden="1">
      <extLst>
        <ext xmlns:x15="http://schemas.microsoft.com/office/spreadsheetml/2010/11/main" uri="{B97F6D7D-B522-45F9-BDA1-12C45D357490}">
          <x15:cacheHierarchy aggregatedColumn="6"/>
        </ext>
      </extLst>
    </cacheHierarchy>
  </cacheHierarchies>
  <kpis count="0"/>
  <dimensions count="4">
    <dimension name="MainTable" uniqueName="[MainTable]" caption="MainTable"/>
    <dimension measure="1" name="Measures" uniqueName="[Measures]" caption="Measures"/>
    <dimension name="Range" uniqueName="[Range]" caption="Range"/>
    <dimension name="SmallTable" uniqueName="[SmallTable]" caption="SmallTable"/>
  </dimensions>
  <measureGroups count="3">
    <measureGroup name="MainTable" caption="MainTable"/>
    <measureGroup name="Range" caption="Range"/>
    <measureGroup name="SmallTable" caption="SmallTable"/>
  </measureGroups>
  <maps count="4">
    <map measureGroup="0" dimension="0"/>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42.041721990739" backgroundQuery="1" createdVersion="8" refreshedVersion="8" minRefreshableVersion="3" recordCount="0" supportSubquery="1" supportAdvancedDrill="1" xr:uid="{E005B3B5-323D-47EC-94B4-17B8A2220AA1}">
  <cacheSource type="external" connectionId="1"/>
  <cacheFields count="4">
    <cacheField name="[MainTable].[Type of the jewelry].[Type of the jewelry]" caption="Type of the jewelry" numFmtId="0" hierarchy="9" level="1">
      <sharedItems count="2">
        <s v="Diamond"/>
        <s v="Gold"/>
      </sharedItems>
    </cacheField>
    <cacheField name="[Measures].[Sum of Net profit]" caption="Sum of Net profit" numFmtId="0" hierarchy="34" level="32767"/>
    <cacheField name="[MainTable].[City].[City]" caption="City" numFmtId="0" hierarchy="5" level="1">
      <sharedItems containsSemiMixedTypes="0" containsNonDate="0" containsString="0"/>
    </cacheField>
    <cacheField name="[MainTable].[Customers].[Customers]" caption="Customers" numFmtId="0" level="1">
      <sharedItems containsSemiMixedTypes="0" containsNonDate="0" containsString="0"/>
    </cacheField>
  </cacheFields>
  <cacheHierarchies count="38">
    <cacheHierarchy uniqueName="[MainTable].[Customers]" caption="Customers" attribute="1" defaultMemberUniqueName="[MainTable].[Customers].[All]" allUniqueName="[MainTable].[Customers].[All]" dimensionUniqueName="[MainTable]" displayFolder="" count="2" memberValueDatatype="130" unbalanced="0">
      <fieldsUsage count="2">
        <fieldUsage x="-1"/>
        <fieldUsage x="3"/>
      </fieldsUsage>
    </cacheHierarchy>
    <cacheHierarchy uniqueName="[MainTable].[Type of sale]" caption="Type of sale" attribute="1" defaultMemberUniqueName="[MainTable].[Type of sale].[All]" allUniqueName="[MainTable].[Type of sale].[All]" dimensionUniqueName="[MainTable]" displayFolder="" count="0" memberValueDatatype="130" unbalanced="0"/>
    <cacheHierarchy uniqueName="[MainTable].[The price]" caption="The price" attribute="1" defaultMemberUniqueName="[MainTable].[The price].[All]" allUniqueName="[MainTable].[The price].[All]" dimensionUniqueName="[MainTable]" displayFolder="" count="0" memberValueDatatype="20" unbalanced="0"/>
    <cacheHierarchy uniqueName="[MainTable].[Date]" caption="Date" attribute="1" time="1" defaultMemberUniqueName="[MainTable].[Date].[All]" allUniqueName="[MainTable].[Date].[All]" dimensionUniqueName="[MainTable]" displayFolder="" count="0" memberValueDatatype="7" unbalanced="0"/>
    <cacheHierarchy uniqueName="[MainTable].[Net profit]" caption="Net profit" attribute="1" defaultMemberUniqueName="[MainTable].[Net profit].[All]" allUniqueName="[MainTable].[Net profit].[All]" dimensionUniqueName="[MainTable]" displayFolder="" count="0" memberValueDatatype="5" unbalanced="0"/>
    <cacheHierarchy uniqueName="[MainTable].[City]" caption="City" attribute="1" defaultMemberUniqueName="[MainTable].[City].[All]" allUniqueName="[MainTable].[City].[All]" dimensionUniqueName="[MainTable]" displayFolder="" count="2" memberValueDatatype="130" unbalanced="0">
      <fieldsUsage count="2">
        <fieldUsage x="-1"/>
        <fieldUsage x="2"/>
      </fieldsUsage>
    </cacheHierarchy>
    <cacheHierarchy uniqueName="[MainTable].[the tax]" caption="the tax" attribute="1" defaultMemberUniqueName="[MainTable].[the tax].[All]" allUniqueName="[MainTable].[the tax].[All]" dimensionUniqueName="[MainTable]" displayFolder="" count="0" memberValueDatatype="5" unbalanced="0"/>
    <cacheHierarchy uniqueName="[MainTable].[collection date]" caption="collection date" attribute="1" time="1" defaultMemberUniqueName="[MainTable].[collection date].[All]" allUniqueName="[MainTable].[collection date].[All]" dimensionUniqueName="[MainTable]" displayFolder="" count="0" memberValueDatatype="7" unbalanced="0"/>
    <cacheHierarchy uniqueName="[MainTable].[Number of days remaining]" caption="Number of days remaining" attribute="1" defaultMemberUniqueName="[MainTable].[Number of days remaining].[All]" allUniqueName="[MainTable].[Number of days remaining].[All]" dimensionUniqueName="[MainTable]" displayFolder="" count="0" memberValueDatatype="20" unbalanced="0"/>
    <cacheHierarchy uniqueName="[MainTable].[Type of the jewelry]" caption="Type of the jewelry" attribute="1" defaultMemberUniqueName="[MainTable].[Type of the jewelry].[All]" allUniqueName="[MainTable].[Type of the jewelry].[All]" dimensionUniqueName="[MainTable]" displayFolder="" count="2" memberValueDatatype="130" unbalanced="0">
      <fieldsUsage count="2">
        <fieldUsage x="-1"/>
        <fieldUsage x="0"/>
      </fieldsUsage>
    </cacheHierarchy>
    <cacheHierarchy uniqueName="[MainTable].[Date (Month)]" caption="Date (Month)" attribute="1" defaultMemberUniqueName="[MainTable].[Date (Month)].[All]" allUniqueName="[MainTable].[Date (Month)].[All]" dimensionUniqueName="[MainTable]" displayFolder="" count="0" memberValueDatatype="130" unbalanced="0"/>
    <cacheHierarchy uniqueName="[MainTable].[Date (Quarter)]" caption="Date (Quarter)" attribute="1" defaultMemberUniqueName="[MainTable].[Date (Quarter)].[All]" allUniqueName="[MainTable].[Date (Quarter)].[All]" dimensionUniqueName="[MainTable]" displayFolder="" count="0" memberValueDatatype="130" unbalanced="0"/>
    <cacheHierarchy uniqueName="[MainTable].[Date (Day)]" caption="Date (Day)" attribute="1" defaultMemberUniqueName="[MainTable].[Date (Day)].[All]" allUniqueName="[MainTable].[Date (Day)].[All]" dimensionUniqueName="[MainTable]" displayFolder="" count="0" memberValueDatatype="130" unbalanced="0"/>
    <cacheHierarchy uniqueName="[MainTable].[Date (Hour)]" caption="Date (Hour)" attribute="1" defaultMemberUniqueName="[MainTable].[Date (Hour)].[All]" allUniqueName="[MainTable].[Date (Hour)].[All]" dimensionUniqueName="[MainTable]" displayFolder="" count="0" memberValueDatatype="130" unbalanced="0"/>
    <cacheHierarchy uniqueName="[Range].[Total sales]" caption="Total sales" attribute="1" defaultMemberUniqueName="[Range].[Total sales].[All]" allUniqueName="[Range].[Total sales].[All]" dimensionUniqueName="[Range]" displayFolder="" count="0" memberValueDatatype="5" unbalanced="0"/>
    <cacheHierarchy uniqueName="[Range].[Customers]" caption="Customers" attribute="1" defaultMemberUniqueName="[Range].[Customers].[All]" allUniqueName="[Range].[Customers].[All]" dimensionUniqueName="[Range]" displayFolder="" count="0" memberValueDatatype="130" unbalanced="0"/>
    <cacheHierarchy uniqueName="[Range].[Type of customer]" caption="Type of customer" attribute="1" defaultMemberUniqueName="[Range].[Type of customer].[All]" allUniqueName="[Range].[Type of customer].[All]" dimensionUniqueName="[Range]" displayFolder="" count="0" memberValueDatatype="130" unbalanced="0"/>
    <cacheHierarchy uniqueName="[Range].[percentage of sales]" caption="percentage of sales" attribute="1" defaultMemberUniqueName="[Range].[percentage of sales].[All]" allUniqueName="[Range].[percentage of sales].[All]" dimensionUniqueName="[Range]" displayFolder="" count="0" memberValueDatatype="5" unbalanced="0"/>
    <cacheHierarchy uniqueName="[Range].[City]" caption="City" attribute="1" defaultMemberUniqueName="[Range].[City].[All]" allUniqueName="[Range].[City].[All]" dimensionUniqueName="[Range]" displayFolder="" count="0" memberValueDatatype="130" unbalanced="0"/>
    <cacheHierarchy uniqueName="[SmallTable].[Total sales]" caption="Total sales" attribute="1" defaultMemberUniqueName="[SmallTable].[Total sales].[All]" allUniqueName="[SmallTable].[Total sales].[All]" dimensionUniqueName="[SmallTable]" displayFolder="" count="0" memberValueDatatype="5" unbalanced="0"/>
    <cacheHierarchy uniqueName="[SmallTable].[Customers]" caption="Customers" attribute="1" defaultMemberUniqueName="[SmallTable].[Customers].[All]" allUniqueName="[SmallTable].[Customers].[All]" dimensionUniqueName="[SmallTable]" displayFolder="" count="0" memberValueDatatype="130" unbalanced="0"/>
    <cacheHierarchy uniqueName="[SmallTable].[Type of customer]" caption="Type of customer" attribute="1" defaultMemberUniqueName="[SmallTable].[Type of customer].[All]" allUniqueName="[SmallTable].[Type of customer].[All]" dimensionUniqueName="[SmallTable]" displayFolder="" count="0" memberValueDatatype="130" unbalanced="0"/>
    <cacheHierarchy uniqueName="[SmallTable].[percentage of sales]" caption="percentage of sales" attribute="1" defaultMemberUniqueName="[SmallTable].[percentage of sales].[All]" allUniqueName="[SmallTable].[percentage of sales].[All]" dimensionUniqueName="[SmallTable]" displayFolder="" count="0" memberValueDatatype="5" unbalanced="0"/>
    <cacheHierarchy uniqueName="[SmallTable].[City]" caption="City" attribute="1" defaultMemberUniqueName="[SmallTable].[City].[All]" allUniqueName="[SmallTable].[City].[All]" dimensionUniqueName="[SmallTable]" displayFolder="" count="0" memberValueDatatype="130" unbalanced="0"/>
    <cacheHierarchy uniqueName="[MainTable].[Date (Day Index)]" caption="Date (Day Index)" attribute="1" defaultMemberUniqueName="[MainTable].[Date (Day Index)].[All]" allUniqueName="[MainTable].[Date (Day Index)].[All]" dimensionUniqueName="[MainTable]" displayFolder="" count="0" memberValueDatatype="5" unbalanced="0" hidden="1"/>
    <cacheHierarchy uniqueName="[MainTable].[Date (Month Index)]" caption="Date (Month Index)" attribute="1" defaultMemberUniqueName="[MainTable].[Date (Month Index)].[All]" allUniqueName="[MainTable].[Date (Month Index)].[All]" dimensionUniqueName="[MainTable]" displayFolder="" count="0" memberValueDatatype="20" unbalanced="0" hidden="1"/>
    <cacheHierarchy uniqueName="[Measures].[__XL_Count Range]" caption="__XL_Count Range" measure="1" displayFolder="" measureGroup="Range" count="0" hidden="1"/>
    <cacheHierarchy uniqueName="[Measures].[__XL_Count MainTable]" caption="__XL_Count MainTable" measure="1" displayFolder="" measureGroup="MainTable" count="0" hidden="1"/>
    <cacheHierarchy uniqueName="[Measures].[__XL_Count SmallTable]" caption="__XL_Count SmallTable" measure="1" displayFolder="" measureGroup="SmallTabl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14"/>
        </ext>
      </extLst>
    </cacheHierarchy>
    <cacheHierarchy uniqueName="[Measures].[Sum of percentage of sales]" caption="Sum of percentage of sales" measure="1" displayFolder="" measureGroup="Range" count="0" hidden="1">
      <extLst>
        <ext xmlns:x15="http://schemas.microsoft.com/office/spreadsheetml/2010/11/main" uri="{B97F6D7D-B522-45F9-BDA1-12C45D357490}">
          <x15:cacheHierarchy aggregatedColumn="17"/>
        </ext>
      </extLst>
    </cacheHierarchy>
    <cacheHierarchy uniqueName="[Measures].[Count of Type of customer]" caption="Count of Type of customer" measure="1" displayFolder="" measureGroup="Range" count="0" hidden="1">
      <extLst>
        <ext xmlns:x15="http://schemas.microsoft.com/office/spreadsheetml/2010/11/main" uri="{B97F6D7D-B522-45F9-BDA1-12C45D357490}">
          <x15:cacheHierarchy aggregatedColumn="16"/>
        </ext>
      </extLst>
    </cacheHierarchy>
    <cacheHierarchy uniqueName="[Measures].[Sum of The price]" caption="Sum of The price" measure="1" displayFolder="" measureGroup="MainTable" count="0" hidden="1">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MainTabl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Total sales 2]" caption="Sum of Total sales 2" measure="1" displayFolder="" measureGroup="SmallTable" count="0" hidden="1">
      <extLst>
        <ext xmlns:x15="http://schemas.microsoft.com/office/spreadsheetml/2010/11/main" uri="{B97F6D7D-B522-45F9-BDA1-12C45D357490}">
          <x15:cacheHierarchy aggregatedColumn="19"/>
        </ext>
      </extLst>
    </cacheHierarchy>
    <cacheHierarchy uniqueName="[Measures].[Sum of percentage of sales 2]" caption="Sum of percentage of sales 2" measure="1" displayFolder="" measureGroup="SmallTable" count="0" hidden="1">
      <extLst>
        <ext xmlns:x15="http://schemas.microsoft.com/office/spreadsheetml/2010/11/main" uri="{B97F6D7D-B522-45F9-BDA1-12C45D357490}">
          <x15:cacheHierarchy aggregatedColumn="22"/>
        </ext>
      </extLst>
    </cacheHierarchy>
    <cacheHierarchy uniqueName="[Measures].[Sum of the tax]" caption="Sum of the tax" measure="1" displayFolder="" measureGroup="MainTable" count="0" hidden="1">
      <extLst>
        <ext xmlns:x15="http://schemas.microsoft.com/office/spreadsheetml/2010/11/main" uri="{B97F6D7D-B522-45F9-BDA1-12C45D357490}">
          <x15:cacheHierarchy aggregatedColumn="6"/>
        </ext>
      </extLst>
    </cacheHierarchy>
  </cacheHierarchies>
  <kpis count="0"/>
  <dimensions count="4">
    <dimension name="MainTable" uniqueName="[MainTable]" caption="MainTable"/>
    <dimension measure="1" name="Measures" uniqueName="[Measures]" caption="Measures"/>
    <dimension name="Range" uniqueName="[Range]" caption="Range"/>
    <dimension name="SmallTable" uniqueName="[SmallTable]" caption="SmallTable"/>
  </dimensions>
  <measureGroups count="3">
    <measureGroup name="MainTable" caption="MainTable"/>
    <measureGroup name="Range" caption="Range"/>
    <measureGroup name="SmallTable" caption="SmallTable"/>
  </measureGroups>
  <maps count="4">
    <map measureGroup="0" dimension="0"/>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42.041723032409" backgroundQuery="1" createdVersion="8" refreshedVersion="8" minRefreshableVersion="3" recordCount="0" supportSubquery="1" supportAdvancedDrill="1" xr:uid="{64A4414F-2E6F-4F8B-B707-AD3CCF410E55}">
  <cacheSource type="external" connectionId="1"/>
  <cacheFields count="3">
    <cacheField name="[MainTable].[Customers].[Customers]" caption="Customers" numFmtId="0" level="1">
      <sharedItems count="2">
        <s v="dania"/>
        <s v="mazen"/>
      </sharedItems>
    </cacheField>
    <cacheField name="[Measures].[Sum of Net profit]" caption="Sum of Net profit" numFmtId="0" hierarchy="34" level="32767"/>
    <cacheField name="[MainTable].[City].[City]" caption="City" numFmtId="0" hierarchy="5" level="1">
      <sharedItems containsSemiMixedTypes="0" containsNonDate="0" containsString="0"/>
    </cacheField>
  </cacheFields>
  <cacheHierarchies count="38">
    <cacheHierarchy uniqueName="[MainTable].[Customers]" caption="Customers" attribute="1" defaultMemberUniqueName="[MainTable].[Customers].[All]" allUniqueName="[MainTable].[Customers].[All]" dimensionUniqueName="[MainTable]" displayFolder="" count="2" memberValueDatatype="130" unbalanced="0">
      <fieldsUsage count="2">
        <fieldUsage x="-1"/>
        <fieldUsage x="0"/>
      </fieldsUsage>
    </cacheHierarchy>
    <cacheHierarchy uniqueName="[MainTable].[Type of sale]" caption="Type of sale" attribute="1" defaultMemberUniqueName="[MainTable].[Type of sale].[All]" allUniqueName="[MainTable].[Type of sale].[All]" dimensionUniqueName="[MainTable]" displayFolder="" count="0" memberValueDatatype="130" unbalanced="0"/>
    <cacheHierarchy uniqueName="[MainTable].[The price]" caption="The price" attribute="1" defaultMemberUniqueName="[MainTable].[The price].[All]" allUniqueName="[MainTable].[The price].[All]" dimensionUniqueName="[MainTable]" displayFolder="" count="0" memberValueDatatype="20" unbalanced="0"/>
    <cacheHierarchy uniqueName="[MainTable].[Date]" caption="Date" attribute="1" time="1" defaultMemberUniqueName="[MainTable].[Date].[All]" allUniqueName="[MainTable].[Date].[All]" dimensionUniqueName="[MainTable]" displayFolder="" count="0" memberValueDatatype="7" unbalanced="0"/>
    <cacheHierarchy uniqueName="[MainTable].[Net profit]" caption="Net profit" attribute="1" defaultMemberUniqueName="[MainTable].[Net profit].[All]" allUniqueName="[MainTable].[Net profit].[All]" dimensionUniqueName="[MainTable]" displayFolder="" count="0" memberValueDatatype="5" unbalanced="0"/>
    <cacheHierarchy uniqueName="[MainTable].[City]" caption="City" attribute="1" defaultMemberUniqueName="[MainTable].[City].[All]" allUniqueName="[MainTable].[City].[All]" dimensionUniqueName="[MainTable]" displayFolder="" count="2" memberValueDatatype="130" unbalanced="0">
      <fieldsUsage count="2">
        <fieldUsage x="-1"/>
        <fieldUsage x="2"/>
      </fieldsUsage>
    </cacheHierarchy>
    <cacheHierarchy uniqueName="[MainTable].[the tax]" caption="the tax" attribute="1" defaultMemberUniqueName="[MainTable].[the tax].[All]" allUniqueName="[MainTable].[the tax].[All]" dimensionUniqueName="[MainTable]" displayFolder="" count="0" memberValueDatatype="5" unbalanced="0"/>
    <cacheHierarchy uniqueName="[MainTable].[collection date]" caption="collection date" attribute="1" time="1" defaultMemberUniqueName="[MainTable].[collection date].[All]" allUniqueName="[MainTable].[collection date].[All]" dimensionUniqueName="[MainTable]" displayFolder="" count="0" memberValueDatatype="7" unbalanced="0"/>
    <cacheHierarchy uniqueName="[MainTable].[Number of days remaining]" caption="Number of days remaining" attribute="1" defaultMemberUniqueName="[MainTable].[Number of days remaining].[All]" allUniqueName="[MainTable].[Number of days remaining].[All]" dimensionUniqueName="[MainTable]" displayFolder="" count="0" memberValueDatatype="20" unbalanced="0"/>
    <cacheHierarchy uniqueName="[MainTable].[Type of the jewelry]" caption="Type of the jewelry" attribute="1" defaultMemberUniqueName="[MainTable].[Type of the jewelry].[All]" allUniqueName="[MainTable].[Type of the jewelry].[All]" dimensionUniqueName="[MainTable]" displayFolder="" count="0" memberValueDatatype="130" unbalanced="0"/>
    <cacheHierarchy uniqueName="[MainTable].[Date (Month)]" caption="Date (Month)" attribute="1" defaultMemberUniqueName="[MainTable].[Date (Month)].[All]" allUniqueName="[MainTable].[Date (Month)].[All]" dimensionUniqueName="[MainTable]" displayFolder="" count="0" memberValueDatatype="130" unbalanced="0"/>
    <cacheHierarchy uniqueName="[MainTable].[Date (Quarter)]" caption="Date (Quarter)" attribute="1" defaultMemberUniqueName="[MainTable].[Date (Quarter)].[All]" allUniqueName="[MainTable].[Date (Quarter)].[All]" dimensionUniqueName="[MainTable]" displayFolder="" count="0" memberValueDatatype="130" unbalanced="0"/>
    <cacheHierarchy uniqueName="[MainTable].[Date (Day)]" caption="Date (Day)" attribute="1" defaultMemberUniqueName="[MainTable].[Date (Day)].[All]" allUniqueName="[MainTable].[Date (Day)].[All]" dimensionUniqueName="[MainTable]" displayFolder="" count="0" memberValueDatatype="130" unbalanced="0"/>
    <cacheHierarchy uniqueName="[MainTable].[Date (Hour)]" caption="Date (Hour)" attribute="1" defaultMemberUniqueName="[MainTable].[Date (Hour)].[All]" allUniqueName="[MainTable].[Date (Hour)].[All]" dimensionUniqueName="[MainTable]" displayFolder="" count="0" memberValueDatatype="130" unbalanced="0"/>
    <cacheHierarchy uniqueName="[Range].[Total sales]" caption="Total sales" attribute="1" defaultMemberUniqueName="[Range].[Total sales].[All]" allUniqueName="[Range].[Total sales].[All]" dimensionUniqueName="[Range]" displayFolder="" count="0" memberValueDatatype="5" unbalanced="0"/>
    <cacheHierarchy uniqueName="[Range].[Customers]" caption="Customers" attribute="1" defaultMemberUniqueName="[Range].[Customers].[All]" allUniqueName="[Range].[Customers].[All]" dimensionUniqueName="[Range]" displayFolder="" count="0" memberValueDatatype="130" unbalanced="0"/>
    <cacheHierarchy uniqueName="[Range].[Type of customer]" caption="Type of customer" attribute="1" defaultMemberUniqueName="[Range].[Type of customer].[All]" allUniqueName="[Range].[Type of customer].[All]" dimensionUniqueName="[Range]" displayFolder="" count="0" memberValueDatatype="130" unbalanced="0"/>
    <cacheHierarchy uniqueName="[Range].[percentage of sales]" caption="percentage of sales" attribute="1" defaultMemberUniqueName="[Range].[percentage of sales].[All]" allUniqueName="[Range].[percentage of sales].[All]" dimensionUniqueName="[Range]" displayFolder="" count="0" memberValueDatatype="5" unbalanced="0"/>
    <cacheHierarchy uniqueName="[Range].[City]" caption="City" attribute="1" defaultMemberUniqueName="[Range].[City].[All]" allUniqueName="[Range].[City].[All]" dimensionUniqueName="[Range]" displayFolder="" count="0" memberValueDatatype="130" unbalanced="0"/>
    <cacheHierarchy uniqueName="[SmallTable].[Total sales]" caption="Total sales" attribute="1" defaultMemberUniqueName="[SmallTable].[Total sales].[All]" allUniqueName="[SmallTable].[Total sales].[All]" dimensionUniqueName="[SmallTable]" displayFolder="" count="0" memberValueDatatype="5" unbalanced="0"/>
    <cacheHierarchy uniqueName="[SmallTable].[Customers]" caption="Customers" attribute="1" defaultMemberUniqueName="[SmallTable].[Customers].[All]" allUniqueName="[SmallTable].[Customers].[All]" dimensionUniqueName="[SmallTable]" displayFolder="" count="0" memberValueDatatype="130" unbalanced="0"/>
    <cacheHierarchy uniqueName="[SmallTable].[Type of customer]" caption="Type of customer" attribute="1" defaultMemberUniqueName="[SmallTable].[Type of customer].[All]" allUniqueName="[SmallTable].[Type of customer].[All]" dimensionUniqueName="[SmallTable]" displayFolder="" count="0" memberValueDatatype="130" unbalanced="0"/>
    <cacheHierarchy uniqueName="[SmallTable].[percentage of sales]" caption="percentage of sales" attribute="1" defaultMemberUniqueName="[SmallTable].[percentage of sales].[All]" allUniqueName="[SmallTable].[percentage of sales].[All]" dimensionUniqueName="[SmallTable]" displayFolder="" count="0" memberValueDatatype="5" unbalanced="0"/>
    <cacheHierarchy uniqueName="[SmallTable].[City]" caption="City" attribute="1" defaultMemberUniqueName="[SmallTable].[City].[All]" allUniqueName="[SmallTable].[City].[All]" dimensionUniqueName="[SmallTable]" displayFolder="" count="0" memberValueDatatype="130" unbalanced="0"/>
    <cacheHierarchy uniqueName="[MainTable].[Date (Day Index)]" caption="Date (Day Index)" attribute="1" defaultMemberUniqueName="[MainTable].[Date (Day Index)].[All]" allUniqueName="[MainTable].[Date (Day Index)].[All]" dimensionUniqueName="[MainTable]" displayFolder="" count="0" memberValueDatatype="5" unbalanced="0" hidden="1"/>
    <cacheHierarchy uniqueName="[MainTable].[Date (Month Index)]" caption="Date (Month Index)" attribute="1" defaultMemberUniqueName="[MainTable].[Date (Month Index)].[All]" allUniqueName="[MainTable].[Date (Month Index)].[All]" dimensionUniqueName="[MainTable]" displayFolder="" count="0" memberValueDatatype="20" unbalanced="0" hidden="1"/>
    <cacheHierarchy uniqueName="[Measures].[__XL_Count Range]" caption="__XL_Count Range" measure="1" displayFolder="" measureGroup="Range" count="0" hidden="1"/>
    <cacheHierarchy uniqueName="[Measures].[__XL_Count MainTable]" caption="__XL_Count MainTable" measure="1" displayFolder="" measureGroup="MainTable" count="0" hidden="1"/>
    <cacheHierarchy uniqueName="[Measures].[__XL_Count SmallTable]" caption="__XL_Count SmallTable" measure="1" displayFolder="" measureGroup="SmallTabl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14"/>
        </ext>
      </extLst>
    </cacheHierarchy>
    <cacheHierarchy uniqueName="[Measures].[Sum of percentage of sales]" caption="Sum of percentage of sales" measure="1" displayFolder="" measureGroup="Range" count="0" hidden="1">
      <extLst>
        <ext xmlns:x15="http://schemas.microsoft.com/office/spreadsheetml/2010/11/main" uri="{B97F6D7D-B522-45F9-BDA1-12C45D357490}">
          <x15:cacheHierarchy aggregatedColumn="17"/>
        </ext>
      </extLst>
    </cacheHierarchy>
    <cacheHierarchy uniqueName="[Measures].[Count of Type of customer]" caption="Count of Type of customer" measure="1" displayFolder="" measureGroup="Range" count="0" hidden="1">
      <extLst>
        <ext xmlns:x15="http://schemas.microsoft.com/office/spreadsheetml/2010/11/main" uri="{B97F6D7D-B522-45F9-BDA1-12C45D357490}">
          <x15:cacheHierarchy aggregatedColumn="16"/>
        </ext>
      </extLst>
    </cacheHierarchy>
    <cacheHierarchy uniqueName="[Measures].[Sum of The price]" caption="Sum of The price" measure="1" displayFolder="" measureGroup="MainTable" count="0" hidden="1">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MainTabl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Total sales 2]" caption="Sum of Total sales 2" measure="1" displayFolder="" measureGroup="SmallTable" count="0" hidden="1">
      <extLst>
        <ext xmlns:x15="http://schemas.microsoft.com/office/spreadsheetml/2010/11/main" uri="{B97F6D7D-B522-45F9-BDA1-12C45D357490}">
          <x15:cacheHierarchy aggregatedColumn="19"/>
        </ext>
      </extLst>
    </cacheHierarchy>
    <cacheHierarchy uniqueName="[Measures].[Sum of percentage of sales 2]" caption="Sum of percentage of sales 2" measure="1" displayFolder="" measureGroup="SmallTable" count="0" hidden="1">
      <extLst>
        <ext xmlns:x15="http://schemas.microsoft.com/office/spreadsheetml/2010/11/main" uri="{B97F6D7D-B522-45F9-BDA1-12C45D357490}">
          <x15:cacheHierarchy aggregatedColumn="22"/>
        </ext>
      </extLst>
    </cacheHierarchy>
    <cacheHierarchy uniqueName="[Measures].[Sum of the tax]" caption="Sum of the tax" measure="1" displayFolder="" measureGroup="MainTable" count="0" hidden="1">
      <extLst>
        <ext xmlns:x15="http://schemas.microsoft.com/office/spreadsheetml/2010/11/main" uri="{B97F6D7D-B522-45F9-BDA1-12C45D357490}">
          <x15:cacheHierarchy aggregatedColumn="6"/>
        </ext>
      </extLst>
    </cacheHierarchy>
  </cacheHierarchies>
  <kpis count="0"/>
  <dimensions count="4">
    <dimension name="MainTable" uniqueName="[MainTable]" caption="MainTable"/>
    <dimension measure="1" name="Measures" uniqueName="[Measures]" caption="Measures"/>
    <dimension name="Range" uniqueName="[Range]" caption="Range"/>
    <dimension name="SmallTable" uniqueName="[SmallTable]" caption="SmallTable"/>
  </dimensions>
  <measureGroups count="3">
    <measureGroup name="MainTable" caption="MainTable"/>
    <measureGroup name="Range" caption="Range"/>
    <measureGroup name="SmallTable" caption="SmallTable"/>
  </measureGroups>
  <maps count="4">
    <map measureGroup="0" dimension="0"/>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42.041733101854" backgroundQuery="1" createdVersion="8" refreshedVersion="8" minRefreshableVersion="3" recordCount="0" supportSubquery="1" supportAdvancedDrill="1" xr:uid="{6DB9A84B-88FF-4C51-BFE1-F3EA24ED17FC}">
  <cacheSource type="external" connectionId="1"/>
  <cacheFields count="4">
    <cacheField name="[MainTable].[Date].[Date]" caption="Date" numFmtId="0" hierarchy="3" level="1">
      <sharedItems containsSemiMixedTypes="0" containsNonDate="0" containsDate="1" containsString="0" minDate="2025-01-01T00:00:00" maxDate="2025-01-15T00:00:00" count="4">
        <d v="2025-01-01T00:00:00"/>
        <d v="2025-01-05T00:00:00"/>
        <d v="2025-01-07T00:00:00"/>
        <d v="2025-01-14T00:00:00"/>
      </sharedItems>
    </cacheField>
    <cacheField name="[Measures].[Sum of Net profit]" caption="Sum of Net profit" numFmtId="0" hierarchy="34" level="32767"/>
    <cacheField name="[MainTable].[City].[City]" caption="City" numFmtId="0" hierarchy="5" level="1">
      <sharedItems containsSemiMixedTypes="0" containsNonDate="0" containsString="0"/>
    </cacheField>
    <cacheField name="[MainTable].[Customers].[Customers]" caption="Customers" numFmtId="0" level="1">
      <sharedItems containsSemiMixedTypes="0" containsNonDate="0" containsString="0"/>
    </cacheField>
  </cacheFields>
  <cacheHierarchies count="38">
    <cacheHierarchy uniqueName="[MainTable].[Customers]" caption="Customers" attribute="1" defaultMemberUniqueName="[MainTable].[Customers].[All]" allUniqueName="[MainTable].[Customers].[All]" dimensionUniqueName="[MainTable]" displayFolder="" count="2" memberValueDatatype="130" unbalanced="0">
      <fieldsUsage count="2">
        <fieldUsage x="-1"/>
        <fieldUsage x="3"/>
      </fieldsUsage>
    </cacheHierarchy>
    <cacheHierarchy uniqueName="[MainTable].[Type of sale]" caption="Type of sale" attribute="1" defaultMemberUniqueName="[MainTable].[Type of sale].[All]" allUniqueName="[MainTable].[Type of sale].[All]" dimensionUniqueName="[MainTable]" displayFolder="" count="0" memberValueDatatype="130" unbalanced="0"/>
    <cacheHierarchy uniqueName="[MainTable].[The price]" caption="The price" attribute="1" defaultMemberUniqueName="[MainTable].[The price].[All]" allUniqueName="[MainTable].[The price].[All]" dimensionUniqueName="[MainTable]" displayFolder="" count="0" memberValueDatatype="20" unbalanced="0"/>
    <cacheHierarchy uniqueName="[MainTable].[Date]" caption="Date" attribute="1" time="1" defaultMemberUniqueName="[MainTable].[Date].[All]" allUniqueName="[MainTable].[Date].[All]" dimensionUniqueName="[MainTable]" displayFolder="" count="2" memberValueDatatype="7" unbalanced="0">
      <fieldsUsage count="2">
        <fieldUsage x="-1"/>
        <fieldUsage x="0"/>
      </fieldsUsage>
    </cacheHierarchy>
    <cacheHierarchy uniqueName="[MainTable].[Net profit]" caption="Net profit" attribute="1" defaultMemberUniqueName="[MainTable].[Net profit].[All]" allUniqueName="[MainTable].[Net profit].[All]" dimensionUniqueName="[MainTable]" displayFolder="" count="0" memberValueDatatype="5" unbalanced="0"/>
    <cacheHierarchy uniqueName="[MainTable].[City]" caption="City" attribute="1" defaultMemberUniqueName="[MainTable].[City].[All]" allUniqueName="[MainTable].[City].[All]" dimensionUniqueName="[MainTable]" displayFolder="" count="2" memberValueDatatype="130" unbalanced="0">
      <fieldsUsage count="2">
        <fieldUsage x="-1"/>
        <fieldUsage x="2"/>
      </fieldsUsage>
    </cacheHierarchy>
    <cacheHierarchy uniqueName="[MainTable].[the tax]" caption="the tax" attribute="1" defaultMemberUniqueName="[MainTable].[the tax].[All]" allUniqueName="[MainTable].[the tax].[All]" dimensionUniqueName="[MainTable]" displayFolder="" count="0" memberValueDatatype="5" unbalanced="0"/>
    <cacheHierarchy uniqueName="[MainTable].[collection date]" caption="collection date" attribute="1" time="1" defaultMemberUniqueName="[MainTable].[collection date].[All]" allUniqueName="[MainTable].[collection date].[All]" dimensionUniqueName="[MainTable]" displayFolder="" count="0" memberValueDatatype="7" unbalanced="0"/>
    <cacheHierarchy uniqueName="[MainTable].[Number of days remaining]" caption="Number of days remaining" attribute="1" defaultMemberUniqueName="[MainTable].[Number of days remaining].[All]" allUniqueName="[MainTable].[Number of days remaining].[All]" dimensionUniqueName="[MainTable]" displayFolder="" count="0" memberValueDatatype="20" unbalanced="0"/>
    <cacheHierarchy uniqueName="[MainTable].[Type of the jewelry]" caption="Type of the jewelry" attribute="1" defaultMemberUniqueName="[MainTable].[Type of the jewelry].[All]" allUniqueName="[MainTable].[Type of the jewelry].[All]" dimensionUniqueName="[MainTable]" displayFolder="" count="0" memberValueDatatype="130" unbalanced="0"/>
    <cacheHierarchy uniqueName="[MainTable].[Date (Month)]" caption="Date (Month)" attribute="1" defaultMemberUniqueName="[MainTable].[Date (Month)].[All]" allUniqueName="[MainTable].[Date (Month)].[All]" dimensionUniqueName="[MainTable]" displayFolder="" count="0" memberValueDatatype="130" unbalanced="0"/>
    <cacheHierarchy uniqueName="[MainTable].[Date (Quarter)]" caption="Date (Quarter)" attribute="1" defaultMemberUniqueName="[MainTable].[Date (Quarter)].[All]" allUniqueName="[MainTable].[Date (Quarter)].[All]" dimensionUniqueName="[MainTable]" displayFolder="" count="0" memberValueDatatype="130" unbalanced="0"/>
    <cacheHierarchy uniqueName="[MainTable].[Date (Day)]" caption="Date (Day)" attribute="1" defaultMemberUniqueName="[MainTable].[Date (Day)].[All]" allUniqueName="[MainTable].[Date (Day)].[All]" dimensionUniqueName="[MainTable]" displayFolder="" count="0" memberValueDatatype="130" unbalanced="0"/>
    <cacheHierarchy uniqueName="[MainTable].[Date (Hour)]" caption="Date (Hour)" attribute="1" defaultMemberUniqueName="[MainTable].[Date (Hour)].[All]" allUniqueName="[MainTable].[Date (Hour)].[All]" dimensionUniqueName="[MainTable]" displayFolder="" count="0" memberValueDatatype="130" unbalanced="0"/>
    <cacheHierarchy uniqueName="[Range].[Total sales]" caption="Total sales" attribute="1" defaultMemberUniqueName="[Range].[Total sales].[All]" allUniqueName="[Range].[Total sales].[All]" dimensionUniqueName="[Range]" displayFolder="" count="0" memberValueDatatype="5" unbalanced="0"/>
    <cacheHierarchy uniqueName="[Range].[Customers]" caption="Customers" attribute="1" defaultMemberUniqueName="[Range].[Customers].[All]" allUniqueName="[Range].[Customers].[All]" dimensionUniqueName="[Range]" displayFolder="" count="0" memberValueDatatype="130" unbalanced="0"/>
    <cacheHierarchy uniqueName="[Range].[Type of customer]" caption="Type of customer" attribute="1" defaultMemberUniqueName="[Range].[Type of customer].[All]" allUniqueName="[Range].[Type of customer].[All]" dimensionUniqueName="[Range]" displayFolder="" count="0" memberValueDatatype="130" unbalanced="0"/>
    <cacheHierarchy uniqueName="[Range].[percentage of sales]" caption="percentage of sales" attribute="1" defaultMemberUniqueName="[Range].[percentage of sales].[All]" allUniqueName="[Range].[percentage of sales].[All]" dimensionUniqueName="[Range]" displayFolder="" count="0" memberValueDatatype="5" unbalanced="0"/>
    <cacheHierarchy uniqueName="[Range].[City]" caption="City" attribute="1" defaultMemberUniqueName="[Range].[City].[All]" allUniqueName="[Range].[City].[All]" dimensionUniqueName="[Range]" displayFolder="" count="0" memberValueDatatype="130" unbalanced="0"/>
    <cacheHierarchy uniqueName="[SmallTable].[Total sales]" caption="Total sales" attribute="1" defaultMemberUniqueName="[SmallTable].[Total sales].[All]" allUniqueName="[SmallTable].[Total sales].[All]" dimensionUniqueName="[SmallTable]" displayFolder="" count="0" memberValueDatatype="5" unbalanced="0"/>
    <cacheHierarchy uniqueName="[SmallTable].[Customers]" caption="Customers" attribute="1" defaultMemberUniqueName="[SmallTable].[Customers].[All]" allUniqueName="[SmallTable].[Customers].[All]" dimensionUniqueName="[SmallTable]" displayFolder="" count="0" memberValueDatatype="130" unbalanced="0"/>
    <cacheHierarchy uniqueName="[SmallTable].[Type of customer]" caption="Type of customer" attribute="1" defaultMemberUniqueName="[SmallTable].[Type of customer].[All]" allUniqueName="[SmallTable].[Type of customer].[All]" dimensionUniqueName="[SmallTable]" displayFolder="" count="0" memberValueDatatype="130" unbalanced="0"/>
    <cacheHierarchy uniqueName="[SmallTable].[percentage of sales]" caption="percentage of sales" attribute="1" defaultMemberUniqueName="[SmallTable].[percentage of sales].[All]" allUniqueName="[SmallTable].[percentage of sales].[All]" dimensionUniqueName="[SmallTable]" displayFolder="" count="0" memberValueDatatype="5" unbalanced="0"/>
    <cacheHierarchy uniqueName="[SmallTable].[City]" caption="City" attribute="1" defaultMemberUniqueName="[SmallTable].[City].[All]" allUniqueName="[SmallTable].[City].[All]" dimensionUniqueName="[SmallTable]" displayFolder="" count="0" memberValueDatatype="130" unbalanced="0"/>
    <cacheHierarchy uniqueName="[MainTable].[Date (Day Index)]" caption="Date (Day Index)" attribute="1" defaultMemberUniqueName="[MainTable].[Date (Day Index)].[All]" allUniqueName="[MainTable].[Date (Day Index)].[All]" dimensionUniqueName="[MainTable]" displayFolder="" count="0" memberValueDatatype="5" unbalanced="0" hidden="1"/>
    <cacheHierarchy uniqueName="[MainTable].[Date (Month Index)]" caption="Date (Month Index)" attribute="1" defaultMemberUniqueName="[MainTable].[Date (Month Index)].[All]" allUniqueName="[MainTable].[Date (Month Index)].[All]" dimensionUniqueName="[MainTable]" displayFolder="" count="0" memberValueDatatype="20" unbalanced="0" hidden="1"/>
    <cacheHierarchy uniqueName="[Measures].[__XL_Count Range]" caption="__XL_Count Range" measure="1" displayFolder="" measureGroup="Range" count="0" hidden="1"/>
    <cacheHierarchy uniqueName="[Measures].[__XL_Count MainTable]" caption="__XL_Count MainTable" measure="1" displayFolder="" measureGroup="MainTable" count="0" hidden="1"/>
    <cacheHierarchy uniqueName="[Measures].[__XL_Count SmallTable]" caption="__XL_Count SmallTable" measure="1" displayFolder="" measureGroup="SmallTabl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14"/>
        </ext>
      </extLst>
    </cacheHierarchy>
    <cacheHierarchy uniqueName="[Measures].[Sum of percentage of sales]" caption="Sum of percentage of sales" measure="1" displayFolder="" measureGroup="Range" count="0" hidden="1">
      <extLst>
        <ext xmlns:x15="http://schemas.microsoft.com/office/spreadsheetml/2010/11/main" uri="{B97F6D7D-B522-45F9-BDA1-12C45D357490}">
          <x15:cacheHierarchy aggregatedColumn="17"/>
        </ext>
      </extLst>
    </cacheHierarchy>
    <cacheHierarchy uniqueName="[Measures].[Count of Type of customer]" caption="Count of Type of customer" measure="1" displayFolder="" measureGroup="Range" count="0" hidden="1">
      <extLst>
        <ext xmlns:x15="http://schemas.microsoft.com/office/spreadsheetml/2010/11/main" uri="{B97F6D7D-B522-45F9-BDA1-12C45D357490}">
          <x15:cacheHierarchy aggregatedColumn="16"/>
        </ext>
      </extLst>
    </cacheHierarchy>
    <cacheHierarchy uniqueName="[Measures].[Sum of The price]" caption="Sum of The price" measure="1" displayFolder="" measureGroup="MainTable" count="0" hidden="1">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MainTabl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Total sales 2]" caption="Sum of Total sales 2" measure="1" displayFolder="" measureGroup="SmallTable" count="0" hidden="1">
      <extLst>
        <ext xmlns:x15="http://schemas.microsoft.com/office/spreadsheetml/2010/11/main" uri="{B97F6D7D-B522-45F9-BDA1-12C45D357490}">
          <x15:cacheHierarchy aggregatedColumn="19"/>
        </ext>
      </extLst>
    </cacheHierarchy>
    <cacheHierarchy uniqueName="[Measures].[Sum of percentage of sales 2]" caption="Sum of percentage of sales 2" measure="1" displayFolder="" measureGroup="SmallTable" count="0" hidden="1">
      <extLst>
        <ext xmlns:x15="http://schemas.microsoft.com/office/spreadsheetml/2010/11/main" uri="{B97F6D7D-B522-45F9-BDA1-12C45D357490}">
          <x15:cacheHierarchy aggregatedColumn="22"/>
        </ext>
      </extLst>
    </cacheHierarchy>
    <cacheHierarchy uniqueName="[Measures].[Sum of the tax]" caption="Sum of the tax" measure="1" displayFolder="" measureGroup="MainTable" count="0" hidden="1">
      <extLst>
        <ext xmlns:x15="http://schemas.microsoft.com/office/spreadsheetml/2010/11/main" uri="{B97F6D7D-B522-45F9-BDA1-12C45D357490}">
          <x15:cacheHierarchy aggregatedColumn="6"/>
        </ext>
      </extLst>
    </cacheHierarchy>
  </cacheHierarchies>
  <kpis count="0"/>
  <dimensions count="4">
    <dimension name="MainTable" uniqueName="[MainTable]" caption="MainTable"/>
    <dimension measure="1" name="Measures" uniqueName="[Measures]" caption="Measures"/>
    <dimension name="Range" uniqueName="[Range]" caption="Range"/>
    <dimension name="SmallTable" uniqueName="[SmallTable]" caption="SmallTable"/>
  </dimensions>
  <measureGroups count="3">
    <measureGroup name="MainTable" caption="MainTable"/>
    <measureGroup name="Range" caption="Range"/>
    <measureGroup name="SmallTable" caption="SmallTable"/>
  </measureGroups>
  <maps count="4">
    <map measureGroup="0" dimension="0"/>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42.041740624998" backgroundQuery="1" createdVersion="8" refreshedVersion="8" minRefreshableVersion="3" recordCount="0" supportSubquery="1" supportAdvancedDrill="1" xr:uid="{426D7044-4CEF-42DB-B6D4-73562D074B47}">
  <cacheSource type="external" connectionId="1"/>
  <cacheFields count="6">
    <cacheField name="[SmallTable].[Customers].[Customers]" caption="Customers" numFmtId="0" hierarchy="20" level="1">
      <sharedItems count="1">
        <s v="fadel"/>
      </sharedItems>
    </cacheField>
    <cacheField name="[Measures].[Sum of Total sales 2]" caption="Sum of Total sales 2" numFmtId="0" hierarchy="35" level="32767"/>
    <cacheField name="[SmallTable].[Type of customer].[Type of customer]" caption="Type of customer" numFmtId="0" hierarchy="21" level="1">
      <sharedItems count="1">
        <s v="Normal Customer"/>
      </sharedItems>
    </cacheField>
    <cacheField name="[Measures].[Sum of percentage of sales 2]" caption="Sum of percentage of sales 2" numFmtId="0" hierarchy="36" level="32767"/>
    <cacheField name="[SmallTable].[City].[City]" caption="City" numFmtId="0" hierarchy="23" level="1">
      <sharedItems count="1">
        <s v="london"/>
      </sharedItems>
    </cacheField>
    <cacheField name="[MainTable].[Customers].[Customers]" caption="Customers" numFmtId="0" level="1">
      <sharedItems containsSemiMixedTypes="0" containsNonDate="0" containsString="0"/>
    </cacheField>
  </cacheFields>
  <cacheHierarchies count="38">
    <cacheHierarchy uniqueName="[MainTable].[Customers]" caption="Customers" attribute="1" defaultMemberUniqueName="[MainTable].[Customers].[All]" allUniqueName="[MainTable].[Customers].[All]" dimensionUniqueName="[MainTable]" displayFolder="" count="2" memberValueDatatype="130" unbalanced="0">
      <fieldsUsage count="2">
        <fieldUsage x="-1"/>
        <fieldUsage x="5"/>
      </fieldsUsage>
    </cacheHierarchy>
    <cacheHierarchy uniqueName="[MainTable].[Type of sale]" caption="Type of sale" attribute="1" defaultMemberUniqueName="[MainTable].[Type of sale].[All]" allUniqueName="[MainTable].[Type of sale].[All]" dimensionUniqueName="[MainTable]" displayFolder="" count="0" memberValueDatatype="130" unbalanced="0"/>
    <cacheHierarchy uniqueName="[MainTable].[The price]" caption="The price" attribute="1" defaultMemberUniqueName="[MainTable].[The price].[All]" allUniqueName="[MainTable].[The price].[All]" dimensionUniqueName="[MainTable]" displayFolder="" count="0" memberValueDatatype="20" unbalanced="0"/>
    <cacheHierarchy uniqueName="[MainTable].[Date]" caption="Date" attribute="1" time="1" defaultMemberUniqueName="[MainTable].[Date].[All]" allUniqueName="[MainTable].[Date].[All]" dimensionUniqueName="[MainTable]" displayFolder="" count="0" memberValueDatatype="7" unbalanced="0"/>
    <cacheHierarchy uniqueName="[MainTable].[Net profit]" caption="Net profit" attribute="1" defaultMemberUniqueName="[MainTable].[Net profit].[All]" allUniqueName="[MainTable].[Net profit].[All]" dimensionUniqueName="[MainTable]" displayFolder="" count="0" memberValueDatatype="5" unbalanced="0"/>
    <cacheHierarchy uniqueName="[MainTable].[City]" caption="City" attribute="1" defaultMemberUniqueName="[MainTable].[City].[All]" allUniqueName="[MainTable].[City].[All]" dimensionUniqueName="[MainTable]" displayFolder="" count="0" memberValueDatatype="130" unbalanced="0"/>
    <cacheHierarchy uniqueName="[MainTable].[the tax]" caption="the tax" attribute="1" defaultMemberUniqueName="[MainTable].[the tax].[All]" allUniqueName="[MainTable].[the tax].[All]" dimensionUniqueName="[MainTable]" displayFolder="" count="0" memberValueDatatype="5" unbalanced="0"/>
    <cacheHierarchy uniqueName="[MainTable].[collection date]" caption="collection date" attribute="1" time="1" defaultMemberUniqueName="[MainTable].[collection date].[All]" allUniqueName="[MainTable].[collection date].[All]" dimensionUniqueName="[MainTable]" displayFolder="" count="0" memberValueDatatype="7" unbalanced="0"/>
    <cacheHierarchy uniqueName="[MainTable].[Number of days remaining]" caption="Number of days remaining" attribute="1" defaultMemberUniqueName="[MainTable].[Number of days remaining].[All]" allUniqueName="[MainTable].[Number of days remaining].[All]" dimensionUniqueName="[MainTable]" displayFolder="" count="0" memberValueDatatype="20" unbalanced="0"/>
    <cacheHierarchy uniqueName="[MainTable].[Type of the jewelry]" caption="Type of the jewelry" attribute="1" defaultMemberUniqueName="[MainTable].[Type of the jewelry].[All]" allUniqueName="[MainTable].[Type of the jewelry].[All]" dimensionUniqueName="[MainTable]" displayFolder="" count="0" memberValueDatatype="130" unbalanced="0"/>
    <cacheHierarchy uniqueName="[MainTable].[Date (Month)]" caption="Date (Month)" attribute="1" defaultMemberUniqueName="[MainTable].[Date (Month)].[All]" allUniqueName="[MainTable].[Date (Month)].[All]" dimensionUniqueName="[MainTable]" displayFolder="" count="0" memberValueDatatype="130" unbalanced="0"/>
    <cacheHierarchy uniqueName="[MainTable].[Date (Quarter)]" caption="Date (Quarter)" attribute="1" defaultMemberUniqueName="[MainTable].[Date (Quarter)].[All]" allUniqueName="[MainTable].[Date (Quarter)].[All]" dimensionUniqueName="[MainTable]" displayFolder="" count="0" memberValueDatatype="130" unbalanced="0"/>
    <cacheHierarchy uniqueName="[MainTable].[Date (Day)]" caption="Date (Day)" attribute="1" defaultMemberUniqueName="[MainTable].[Date (Day)].[All]" allUniqueName="[MainTable].[Date (Day)].[All]" dimensionUniqueName="[MainTable]" displayFolder="" count="0" memberValueDatatype="130" unbalanced="0"/>
    <cacheHierarchy uniqueName="[MainTable].[Date (Hour)]" caption="Date (Hour)" attribute="1" defaultMemberUniqueName="[MainTable].[Date (Hour)].[All]" allUniqueName="[MainTable].[Date (Hour)].[All]" dimensionUniqueName="[MainTable]" displayFolder="" count="0" memberValueDatatype="130" unbalanced="0"/>
    <cacheHierarchy uniqueName="[Range].[Total sales]" caption="Total sales" attribute="1" defaultMemberUniqueName="[Range].[Total sales].[All]" allUniqueName="[Range].[Total sales].[All]" dimensionUniqueName="[Range]" displayFolder="" count="0" memberValueDatatype="5" unbalanced="0"/>
    <cacheHierarchy uniqueName="[Range].[Customers]" caption="Customers" attribute="1" defaultMemberUniqueName="[Range].[Customers].[All]" allUniqueName="[Range].[Customers].[All]" dimensionUniqueName="[Range]" displayFolder="" count="0" memberValueDatatype="130" unbalanced="0"/>
    <cacheHierarchy uniqueName="[Range].[Type of customer]" caption="Type of customer" attribute="1" defaultMemberUniqueName="[Range].[Type of customer].[All]" allUniqueName="[Range].[Type of customer].[All]" dimensionUniqueName="[Range]" displayFolder="" count="0" memberValueDatatype="130" unbalanced="0"/>
    <cacheHierarchy uniqueName="[Range].[percentage of sales]" caption="percentage of sales" attribute="1" defaultMemberUniqueName="[Range].[percentage of sales].[All]" allUniqueName="[Range].[percentage of sales].[All]" dimensionUniqueName="[Range]" displayFolder="" count="0" memberValueDatatype="5" unbalanced="0"/>
    <cacheHierarchy uniqueName="[Range].[City]" caption="City" attribute="1" defaultMemberUniqueName="[Range].[City].[All]" allUniqueName="[Range].[City].[All]" dimensionUniqueName="[Range]" displayFolder="" count="0" memberValueDatatype="130" unbalanced="0"/>
    <cacheHierarchy uniqueName="[SmallTable].[Total sales]" caption="Total sales" attribute="1" defaultMemberUniqueName="[SmallTable].[Total sales].[All]" allUniqueName="[SmallTable].[Total sales].[All]" dimensionUniqueName="[SmallTable]" displayFolder="" count="0" memberValueDatatype="5" unbalanced="0"/>
    <cacheHierarchy uniqueName="[SmallTable].[Customers]" caption="Customers" attribute="1" defaultMemberUniqueName="[SmallTable].[Customers].[All]" allUniqueName="[SmallTable].[Customers].[All]" dimensionUniqueName="[SmallTable]" displayFolder="" count="2" memberValueDatatype="130" unbalanced="0">
      <fieldsUsage count="2">
        <fieldUsage x="-1"/>
        <fieldUsage x="0"/>
      </fieldsUsage>
    </cacheHierarchy>
    <cacheHierarchy uniqueName="[SmallTable].[Type of customer]" caption="Type of customer" attribute="1" defaultMemberUniqueName="[SmallTable].[Type of customer].[All]" allUniqueName="[SmallTable].[Type of customer].[All]" dimensionUniqueName="[SmallTable]" displayFolder="" count="2" memberValueDatatype="130" unbalanced="0">
      <fieldsUsage count="2">
        <fieldUsage x="-1"/>
        <fieldUsage x="2"/>
      </fieldsUsage>
    </cacheHierarchy>
    <cacheHierarchy uniqueName="[SmallTable].[percentage of sales]" caption="percentage of sales" attribute="1" defaultMemberUniqueName="[SmallTable].[percentage of sales].[All]" allUniqueName="[SmallTable].[percentage of sales].[All]" dimensionUniqueName="[SmallTable]" displayFolder="" count="0" memberValueDatatype="5" unbalanced="0"/>
    <cacheHierarchy uniqueName="[SmallTable].[City]" caption="City" attribute="1" defaultMemberUniqueName="[SmallTable].[City].[All]" allUniqueName="[SmallTable].[City].[All]" dimensionUniqueName="[SmallTable]" displayFolder="" count="2" memberValueDatatype="130" unbalanced="0">
      <fieldsUsage count="2">
        <fieldUsage x="-1"/>
        <fieldUsage x="4"/>
      </fieldsUsage>
    </cacheHierarchy>
    <cacheHierarchy uniqueName="[MainTable].[Date (Day Index)]" caption="Date (Day Index)" attribute="1" defaultMemberUniqueName="[MainTable].[Date (Day Index)].[All]" allUniqueName="[MainTable].[Date (Day Index)].[All]" dimensionUniqueName="[MainTable]" displayFolder="" count="0" memberValueDatatype="5" unbalanced="0" hidden="1"/>
    <cacheHierarchy uniqueName="[MainTable].[Date (Month Index)]" caption="Date (Month Index)" attribute="1" defaultMemberUniqueName="[MainTable].[Date (Month Index)].[All]" allUniqueName="[MainTable].[Date (Month Index)].[All]" dimensionUniqueName="[MainTable]" displayFolder="" count="0" memberValueDatatype="20" unbalanced="0" hidden="1"/>
    <cacheHierarchy uniqueName="[Measures].[__XL_Count Range]" caption="__XL_Count Range" measure="1" displayFolder="" measureGroup="Range" count="0" hidden="1"/>
    <cacheHierarchy uniqueName="[Measures].[__XL_Count MainTable]" caption="__XL_Count MainTable" measure="1" displayFolder="" measureGroup="MainTable" count="0" hidden="1"/>
    <cacheHierarchy uniqueName="[Measures].[__XL_Count SmallTable]" caption="__XL_Count SmallTable" measure="1" displayFolder="" measureGroup="SmallTabl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14"/>
        </ext>
      </extLst>
    </cacheHierarchy>
    <cacheHierarchy uniqueName="[Measures].[Sum of percentage of sales]" caption="Sum of percentage of sales" measure="1" displayFolder="" measureGroup="Range" count="0" hidden="1">
      <extLst>
        <ext xmlns:x15="http://schemas.microsoft.com/office/spreadsheetml/2010/11/main" uri="{B97F6D7D-B522-45F9-BDA1-12C45D357490}">
          <x15:cacheHierarchy aggregatedColumn="17"/>
        </ext>
      </extLst>
    </cacheHierarchy>
    <cacheHierarchy uniqueName="[Measures].[Count of Type of customer]" caption="Count of Type of customer" measure="1" displayFolder="" measureGroup="Range" count="0" hidden="1">
      <extLst>
        <ext xmlns:x15="http://schemas.microsoft.com/office/spreadsheetml/2010/11/main" uri="{B97F6D7D-B522-45F9-BDA1-12C45D357490}">
          <x15:cacheHierarchy aggregatedColumn="16"/>
        </ext>
      </extLst>
    </cacheHierarchy>
    <cacheHierarchy uniqueName="[Measures].[Sum of The price]" caption="Sum of The price" measure="1" displayFolder="" measureGroup="MainTable" count="0" hidden="1">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MainTable" count="0" hidden="1">
      <extLst>
        <ext xmlns:x15="http://schemas.microsoft.com/office/spreadsheetml/2010/11/main" uri="{B97F6D7D-B522-45F9-BDA1-12C45D357490}">
          <x15:cacheHierarchy aggregatedColumn="4"/>
        </ext>
      </extLst>
    </cacheHierarchy>
    <cacheHierarchy uniqueName="[Measures].[Sum of Total sales 2]" caption="Sum of Total sales 2" measure="1" displayFolder="" measureGroup="SmallTable"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ercentage of sales 2]" caption="Sum of percentage of sales 2" measure="1" displayFolder="" measureGroup="SmallTable"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the tax]" caption="Sum of the tax" measure="1" displayFolder="" measureGroup="MainTable" count="0" hidden="1">
      <extLst>
        <ext xmlns:x15="http://schemas.microsoft.com/office/spreadsheetml/2010/11/main" uri="{B97F6D7D-B522-45F9-BDA1-12C45D357490}">
          <x15:cacheHierarchy aggregatedColumn="6"/>
        </ext>
      </extLst>
    </cacheHierarchy>
  </cacheHierarchies>
  <kpis count="0"/>
  <dimensions count="4">
    <dimension name="MainTable" uniqueName="[MainTable]" caption="MainTable"/>
    <dimension measure="1" name="Measures" uniqueName="[Measures]" caption="Measures"/>
    <dimension name="Range" uniqueName="[Range]" caption="Range"/>
    <dimension name="SmallTable" uniqueName="[SmallTable]" caption="SmallTable"/>
  </dimensions>
  <measureGroups count="3">
    <measureGroup name="MainTable" caption="MainTable"/>
    <measureGroup name="Range" caption="Range"/>
    <measureGroup name="SmallTable" caption="SmallTable"/>
  </measureGroups>
  <maps count="4">
    <map measureGroup="0" dimension="0"/>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42.041741782406" backgroundQuery="1" createdVersion="8" refreshedVersion="8" minRefreshableVersion="3" recordCount="0" supportSubquery="1" supportAdvancedDrill="1" xr:uid="{03127319-C2FC-4A71-A6B2-167208DC89ED}">
  <cacheSource type="external" connectionId="1"/>
  <cacheFields count="4">
    <cacheField name="[MainTable].[Customers].[Customers]" caption="Customers" numFmtId="0" level="1">
      <sharedItems count="1">
        <s v="fadel"/>
      </sharedItems>
    </cacheField>
    <cacheField name="[MainTable].[Type of sale].[Type of sale]" caption="Type of sale" numFmtId="0" hierarchy="1" level="1">
      <sharedItems count="2">
        <s v="necklace"/>
        <s v="sunglasses"/>
      </sharedItems>
    </cacheField>
    <cacheField name="[Measures].[Sum of The price]" caption="Sum of The price" numFmtId="0" hierarchy="33" level="32767"/>
    <cacheField name="[SmallTable].[Customers].[Customers]" caption="Customers" numFmtId="0" hierarchy="20" level="1">
      <sharedItems containsSemiMixedTypes="0" containsNonDate="0" containsString="0"/>
    </cacheField>
  </cacheFields>
  <cacheHierarchies count="38">
    <cacheHierarchy uniqueName="[MainTable].[Customers]" caption="Customers" attribute="1" defaultMemberUniqueName="[MainTable].[Customers].[All]" allUniqueName="[MainTable].[Customers].[All]" dimensionUniqueName="[MainTable]" displayFolder="" count="2" memberValueDatatype="130" unbalanced="0">
      <fieldsUsage count="2">
        <fieldUsage x="-1"/>
        <fieldUsage x="0"/>
      </fieldsUsage>
    </cacheHierarchy>
    <cacheHierarchy uniqueName="[MainTable].[Type of sale]" caption="Type of sale" attribute="1" defaultMemberUniqueName="[MainTable].[Type of sale].[All]" allUniqueName="[MainTable].[Type of sale].[All]" dimensionUniqueName="[MainTable]" displayFolder="" count="2" memberValueDatatype="130" unbalanced="0">
      <fieldsUsage count="2">
        <fieldUsage x="-1"/>
        <fieldUsage x="1"/>
      </fieldsUsage>
    </cacheHierarchy>
    <cacheHierarchy uniqueName="[MainTable].[The price]" caption="The price" attribute="1" defaultMemberUniqueName="[MainTable].[The price].[All]" allUniqueName="[MainTable].[The price].[All]" dimensionUniqueName="[MainTable]" displayFolder="" count="0" memberValueDatatype="20" unbalanced="0"/>
    <cacheHierarchy uniqueName="[MainTable].[Date]" caption="Date" attribute="1" time="1" defaultMemberUniqueName="[MainTable].[Date].[All]" allUniqueName="[MainTable].[Date].[All]" dimensionUniqueName="[MainTable]" displayFolder="" count="0" memberValueDatatype="7" unbalanced="0"/>
    <cacheHierarchy uniqueName="[MainTable].[Net profit]" caption="Net profit" attribute="1" defaultMemberUniqueName="[MainTable].[Net profit].[All]" allUniqueName="[MainTable].[Net profit].[All]" dimensionUniqueName="[MainTable]" displayFolder="" count="0" memberValueDatatype="5" unbalanced="0"/>
    <cacheHierarchy uniqueName="[MainTable].[City]" caption="City" attribute="1" defaultMemberUniqueName="[MainTable].[City].[All]" allUniqueName="[MainTable].[City].[All]" dimensionUniqueName="[MainTable]" displayFolder="" count="0" memberValueDatatype="130" unbalanced="0"/>
    <cacheHierarchy uniqueName="[MainTable].[the tax]" caption="the tax" attribute="1" defaultMemberUniqueName="[MainTable].[the tax].[All]" allUniqueName="[MainTable].[the tax].[All]" dimensionUniqueName="[MainTable]" displayFolder="" count="0" memberValueDatatype="5" unbalanced="0"/>
    <cacheHierarchy uniqueName="[MainTable].[collection date]" caption="collection date" attribute="1" time="1" defaultMemberUniqueName="[MainTable].[collection date].[All]" allUniqueName="[MainTable].[collection date].[All]" dimensionUniqueName="[MainTable]" displayFolder="" count="0" memberValueDatatype="7" unbalanced="0"/>
    <cacheHierarchy uniqueName="[MainTable].[Number of days remaining]" caption="Number of days remaining" attribute="1" defaultMemberUniqueName="[MainTable].[Number of days remaining].[All]" allUniqueName="[MainTable].[Number of days remaining].[All]" dimensionUniqueName="[MainTable]" displayFolder="" count="0" memberValueDatatype="20" unbalanced="0"/>
    <cacheHierarchy uniqueName="[MainTable].[Type of the jewelry]" caption="Type of the jewelry" attribute="1" defaultMemberUniqueName="[MainTable].[Type of the jewelry].[All]" allUniqueName="[MainTable].[Type of the jewelry].[All]" dimensionUniqueName="[MainTable]" displayFolder="" count="0" memberValueDatatype="130" unbalanced="0"/>
    <cacheHierarchy uniqueName="[MainTable].[Date (Month)]" caption="Date (Month)" attribute="1" defaultMemberUniqueName="[MainTable].[Date (Month)].[All]" allUniqueName="[MainTable].[Date (Month)].[All]" dimensionUniqueName="[MainTable]" displayFolder="" count="0" memberValueDatatype="130" unbalanced="0"/>
    <cacheHierarchy uniqueName="[MainTable].[Date (Quarter)]" caption="Date (Quarter)" attribute="1" defaultMemberUniqueName="[MainTable].[Date (Quarter)].[All]" allUniqueName="[MainTable].[Date (Quarter)].[All]" dimensionUniqueName="[MainTable]" displayFolder="" count="0" memberValueDatatype="130" unbalanced="0"/>
    <cacheHierarchy uniqueName="[MainTable].[Date (Day)]" caption="Date (Day)" attribute="1" defaultMemberUniqueName="[MainTable].[Date (Day)].[All]" allUniqueName="[MainTable].[Date (Day)].[All]" dimensionUniqueName="[MainTable]" displayFolder="" count="0" memberValueDatatype="130" unbalanced="0"/>
    <cacheHierarchy uniqueName="[MainTable].[Date (Hour)]" caption="Date (Hour)" attribute="1" defaultMemberUniqueName="[MainTable].[Date (Hour)].[All]" allUniqueName="[MainTable].[Date (Hour)].[All]" dimensionUniqueName="[MainTable]" displayFolder="" count="0" memberValueDatatype="130" unbalanced="0"/>
    <cacheHierarchy uniqueName="[Range].[Total sales]" caption="Total sales" attribute="1" defaultMemberUniqueName="[Range].[Total sales].[All]" allUniqueName="[Range].[Total sales].[All]" dimensionUniqueName="[Range]" displayFolder="" count="0" memberValueDatatype="5" unbalanced="0"/>
    <cacheHierarchy uniqueName="[Range].[Customers]" caption="Customers" attribute="1" defaultMemberUniqueName="[Range].[Customers].[All]" allUniqueName="[Range].[Customers].[All]" dimensionUniqueName="[Range]" displayFolder="" count="0" memberValueDatatype="130" unbalanced="0"/>
    <cacheHierarchy uniqueName="[Range].[Type of customer]" caption="Type of customer" attribute="1" defaultMemberUniqueName="[Range].[Type of customer].[All]" allUniqueName="[Range].[Type of customer].[All]" dimensionUniqueName="[Range]" displayFolder="" count="0" memberValueDatatype="130" unbalanced="0"/>
    <cacheHierarchy uniqueName="[Range].[percentage of sales]" caption="percentage of sales" attribute="1" defaultMemberUniqueName="[Range].[percentage of sales].[All]" allUniqueName="[Range].[percentage of sales].[All]" dimensionUniqueName="[Range]" displayFolder="" count="0" memberValueDatatype="5" unbalanced="0"/>
    <cacheHierarchy uniqueName="[Range].[City]" caption="City" attribute="1" defaultMemberUniqueName="[Range].[City].[All]" allUniqueName="[Range].[City].[All]" dimensionUniqueName="[Range]" displayFolder="" count="0" memberValueDatatype="130" unbalanced="0"/>
    <cacheHierarchy uniqueName="[SmallTable].[Total sales]" caption="Total sales" attribute="1" defaultMemberUniqueName="[SmallTable].[Total sales].[All]" allUniqueName="[SmallTable].[Total sales].[All]" dimensionUniqueName="[SmallTable]" displayFolder="" count="0" memberValueDatatype="5" unbalanced="0"/>
    <cacheHierarchy uniqueName="[SmallTable].[Customers]" caption="Customers" attribute="1" defaultMemberUniqueName="[SmallTable].[Customers].[All]" allUniqueName="[SmallTable].[Customers].[All]" dimensionUniqueName="[SmallTable]" displayFolder="" count="2" memberValueDatatype="130" unbalanced="0">
      <fieldsUsage count="2">
        <fieldUsage x="-1"/>
        <fieldUsage x="3"/>
      </fieldsUsage>
    </cacheHierarchy>
    <cacheHierarchy uniqueName="[SmallTable].[Type of customer]" caption="Type of customer" attribute="1" defaultMemberUniqueName="[SmallTable].[Type of customer].[All]" allUniqueName="[SmallTable].[Type of customer].[All]" dimensionUniqueName="[SmallTable]" displayFolder="" count="0" memberValueDatatype="130" unbalanced="0"/>
    <cacheHierarchy uniqueName="[SmallTable].[percentage of sales]" caption="percentage of sales" attribute="1" defaultMemberUniqueName="[SmallTable].[percentage of sales].[All]" allUniqueName="[SmallTable].[percentage of sales].[All]" dimensionUniqueName="[SmallTable]" displayFolder="" count="0" memberValueDatatype="5" unbalanced="0"/>
    <cacheHierarchy uniqueName="[SmallTable].[City]" caption="City" attribute="1" defaultMemberUniqueName="[SmallTable].[City].[All]" allUniqueName="[SmallTable].[City].[All]" dimensionUniqueName="[SmallTable]" displayFolder="" count="0" memberValueDatatype="130" unbalanced="0"/>
    <cacheHierarchy uniqueName="[MainTable].[Date (Day Index)]" caption="Date (Day Index)" attribute="1" defaultMemberUniqueName="[MainTable].[Date (Day Index)].[All]" allUniqueName="[MainTable].[Date (Day Index)].[All]" dimensionUniqueName="[MainTable]" displayFolder="" count="0" memberValueDatatype="5" unbalanced="0" hidden="1"/>
    <cacheHierarchy uniqueName="[MainTable].[Date (Month Index)]" caption="Date (Month Index)" attribute="1" defaultMemberUniqueName="[MainTable].[Date (Month Index)].[All]" allUniqueName="[MainTable].[Date (Month Index)].[All]" dimensionUniqueName="[MainTable]" displayFolder="" count="0" memberValueDatatype="20" unbalanced="0" hidden="1"/>
    <cacheHierarchy uniqueName="[Measures].[__XL_Count Range]" caption="__XL_Count Range" measure="1" displayFolder="" measureGroup="Range" count="0" hidden="1"/>
    <cacheHierarchy uniqueName="[Measures].[__XL_Count MainTable]" caption="__XL_Count MainTable" measure="1" displayFolder="" measureGroup="MainTable" count="0" hidden="1"/>
    <cacheHierarchy uniqueName="[Measures].[__XL_Count SmallTable]" caption="__XL_Count SmallTable" measure="1" displayFolder="" measureGroup="SmallTabl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14"/>
        </ext>
      </extLst>
    </cacheHierarchy>
    <cacheHierarchy uniqueName="[Measures].[Sum of percentage of sales]" caption="Sum of percentage of sales" measure="1" displayFolder="" measureGroup="Range" count="0" hidden="1">
      <extLst>
        <ext xmlns:x15="http://schemas.microsoft.com/office/spreadsheetml/2010/11/main" uri="{B97F6D7D-B522-45F9-BDA1-12C45D357490}">
          <x15:cacheHierarchy aggregatedColumn="17"/>
        </ext>
      </extLst>
    </cacheHierarchy>
    <cacheHierarchy uniqueName="[Measures].[Count of Type of customer]" caption="Count of Type of customer" measure="1" displayFolder="" measureGroup="Range" count="0" hidden="1">
      <extLst>
        <ext xmlns:x15="http://schemas.microsoft.com/office/spreadsheetml/2010/11/main" uri="{B97F6D7D-B522-45F9-BDA1-12C45D357490}">
          <x15:cacheHierarchy aggregatedColumn="16"/>
        </ext>
      </extLst>
    </cacheHierarchy>
    <cacheHierarchy uniqueName="[Measures].[Sum of The price]" caption="Sum of The price" measure="1" displayFolder="" measureGroup="MainTable"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MainTable" count="0" hidden="1">
      <extLst>
        <ext xmlns:x15="http://schemas.microsoft.com/office/spreadsheetml/2010/11/main" uri="{B97F6D7D-B522-45F9-BDA1-12C45D357490}">
          <x15:cacheHierarchy aggregatedColumn="4"/>
        </ext>
      </extLst>
    </cacheHierarchy>
    <cacheHierarchy uniqueName="[Measures].[Sum of Total sales 2]" caption="Sum of Total sales 2" measure="1" displayFolder="" measureGroup="SmallTable" count="0" hidden="1">
      <extLst>
        <ext xmlns:x15="http://schemas.microsoft.com/office/spreadsheetml/2010/11/main" uri="{B97F6D7D-B522-45F9-BDA1-12C45D357490}">
          <x15:cacheHierarchy aggregatedColumn="19"/>
        </ext>
      </extLst>
    </cacheHierarchy>
    <cacheHierarchy uniqueName="[Measures].[Sum of percentage of sales 2]" caption="Sum of percentage of sales 2" measure="1" displayFolder="" measureGroup="SmallTable" count="0" hidden="1">
      <extLst>
        <ext xmlns:x15="http://schemas.microsoft.com/office/spreadsheetml/2010/11/main" uri="{B97F6D7D-B522-45F9-BDA1-12C45D357490}">
          <x15:cacheHierarchy aggregatedColumn="22"/>
        </ext>
      </extLst>
    </cacheHierarchy>
    <cacheHierarchy uniqueName="[Measures].[Sum of the tax]" caption="Sum of the tax" measure="1" displayFolder="" measureGroup="MainTable" count="0" hidden="1">
      <extLst>
        <ext xmlns:x15="http://schemas.microsoft.com/office/spreadsheetml/2010/11/main" uri="{B97F6D7D-B522-45F9-BDA1-12C45D357490}">
          <x15:cacheHierarchy aggregatedColumn="6"/>
        </ext>
      </extLst>
    </cacheHierarchy>
  </cacheHierarchies>
  <kpis count="0"/>
  <dimensions count="4">
    <dimension name="MainTable" uniqueName="[MainTable]" caption="MainTable"/>
    <dimension measure="1" name="Measures" uniqueName="[Measures]" caption="Measures"/>
    <dimension name="Range" uniqueName="[Range]" caption="Range"/>
    <dimension name="SmallTable" uniqueName="[SmallTable]" caption="SmallTable"/>
  </dimensions>
  <measureGroups count="3">
    <measureGroup name="MainTable" caption="MainTable"/>
    <measureGroup name="Range" caption="Range"/>
    <measureGroup name="SmallTable" caption="SmallTable"/>
  </measureGroups>
  <maps count="4">
    <map measureGroup="0" dimension="0"/>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45.042669328701" createdVersion="8" refreshedVersion="8" minRefreshableVersion="3" recordCount="14" xr:uid="{78637BA1-8795-4561-B20F-D26BFC65A5A0}">
  <cacheSource type="worksheet">
    <worksheetSource name="MainTable"/>
  </cacheSource>
  <cacheFields count="12">
    <cacheField name="Customers" numFmtId="0">
      <sharedItems count="7">
        <s v="dania"/>
        <s v="rania"/>
        <s v="lana"/>
        <s v="lama"/>
        <s v="mert"/>
        <s v="mazen"/>
        <s v="fadel"/>
      </sharedItems>
      <fieldGroup par="11"/>
    </cacheField>
    <cacheField name="Type of sale" numFmtId="0">
      <sharedItems/>
    </cacheField>
    <cacheField name="The price" numFmtId="164">
      <sharedItems containsSemiMixedTypes="0" containsString="0" containsNumber="1" containsInteger="1" minValue="20" maxValue="150"/>
    </cacheField>
    <cacheField name="Date" numFmtId="14">
      <sharedItems containsSemiMixedTypes="0" containsNonDate="0" containsDate="1" containsString="0" minDate="2025-01-01T00:00:00" maxDate="2025-01-15T00:00:00" count="14">
        <d v="2025-01-01T00:00:00"/>
        <d v="2025-01-02T00:00:00"/>
        <d v="2025-01-03T00:00:00"/>
        <d v="2025-01-04T00:00:00"/>
        <d v="2025-01-05T00:00:00"/>
        <d v="2025-01-06T00:00:00"/>
        <d v="2025-01-07T00:00:00"/>
        <d v="2025-01-08T00:00:00"/>
        <d v="2025-01-09T00:00:00"/>
        <d v="2025-01-10T00:00:00"/>
        <d v="2025-01-11T00:00:00"/>
        <d v="2025-01-12T00:00:00"/>
        <d v="2025-01-13T00:00:00"/>
        <d v="2025-01-14T00:00:00"/>
      </sharedItems>
    </cacheField>
    <cacheField name="Net profit" numFmtId="164">
      <sharedItems containsSemiMixedTypes="0" containsString="0" containsNumber="1" minValue="19.760000000000002" maxValue="139.5" count="12">
        <n v="95"/>
        <n v="49"/>
        <n v="39.200000000000003"/>
        <n v="139.5"/>
        <n v="54.45"/>
        <n v="44.55"/>
        <n v="19.760000000000002"/>
        <n v="58.2"/>
        <n v="135"/>
        <n v="33.6"/>
        <n v="69.75"/>
        <n v="101.2"/>
      </sharedItems>
    </cacheField>
    <cacheField name="City" numFmtId="0">
      <sharedItems count="6">
        <s v="istanbul"/>
        <s v="berlin"/>
        <s v="london"/>
        <s v="dubi"/>
        <s v="egybt"/>
        <s v="egypt"/>
      </sharedItems>
    </cacheField>
    <cacheField name="the tax" numFmtId="9">
      <sharedItems containsSemiMixedTypes="0" containsString="0" containsNumber="1" minValue="0.01" maxValue="0.1"/>
    </cacheField>
    <cacheField name="collection date" numFmtId="14">
      <sharedItems containsSemiMixedTypes="0" containsNonDate="0" containsDate="1" containsString="0" minDate="2025-03-31T00:00:00" maxDate="2025-04-01T00:00:00"/>
    </cacheField>
    <cacheField name="Number of days remaining" numFmtId="2">
      <sharedItems containsSemiMixedTypes="0" containsString="0" containsNumber="1" containsInteger="1" minValue="-298" maxValue="-298"/>
    </cacheField>
    <cacheField name="Type of the jewelry" numFmtId="0">
      <sharedItems/>
    </cacheField>
    <cacheField name="HandMade" numFmtId="0" formula="0.02*'Net profit'" databaseField="0"/>
    <cacheField name="Customers2" numFmtId="0" databaseField="0">
      <fieldGroup base="0">
        <discretePr count="7">
          <x v="0"/>
          <x v="0"/>
          <x v="1"/>
          <x v="0"/>
          <x v="0"/>
          <x v="1"/>
          <x v="1"/>
        </discretePr>
        <groupItems count="2">
          <s v="Group1"/>
          <s v="Group2"/>
        </groupItems>
      </fieldGroup>
    </cacheField>
  </cacheFields>
  <extLst>
    <ext xmlns:x14="http://schemas.microsoft.com/office/spreadsheetml/2009/9/main" uri="{725AE2AE-9491-48be-B2B4-4EB974FC3084}">
      <x14:pivotCacheDefinition pivotCacheId="2074167347"/>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42.041706018521" backgroundQuery="1" createdVersion="3" refreshedVersion="8" minRefreshableVersion="3" recordCount="0" supportSubquery="1" supportAdvancedDrill="1" xr:uid="{6512490D-3FFF-46B7-A5F6-E8A4CFAE27E4}">
  <cacheSource type="external" connectionId="1">
    <extLst>
      <ext xmlns:x14="http://schemas.microsoft.com/office/spreadsheetml/2009/9/main" uri="{F057638F-6D5F-4e77-A914-E7F072B9BCA8}">
        <x14:sourceConnection name="ThisWorkbookDataModel"/>
      </ext>
    </extLst>
  </cacheSource>
  <cacheFields count="0"/>
  <cacheHierarchies count="38">
    <cacheHierarchy uniqueName="[MainTable].[Customers]" caption="Customers" attribute="1" defaultMemberUniqueName="[MainTable].[Customers].[All]" allUniqueName="[MainTable].[Customers].[All]" dimensionUniqueName="[MainTable]" displayFolder="" count="0" memberValueDatatype="130" unbalanced="0"/>
    <cacheHierarchy uniqueName="[MainTable].[Type of sale]" caption="Type of sale" attribute="1" defaultMemberUniqueName="[MainTable].[Type of sale].[All]" allUniqueName="[MainTable].[Type of sale].[All]" dimensionUniqueName="[MainTable]" displayFolder="" count="0" memberValueDatatype="130" unbalanced="0"/>
    <cacheHierarchy uniqueName="[MainTable].[The price]" caption="The price" attribute="1" defaultMemberUniqueName="[MainTable].[The price].[All]" allUniqueName="[MainTable].[The price].[All]" dimensionUniqueName="[MainTable]" displayFolder="" count="0" memberValueDatatype="20" unbalanced="0"/>
    <cacheHierarchy uniqueName="[MainTable].[Date]" caption="Date" attribute="1" time="1" defaultMemberUniqueName="[MainTable].[Date].[All]" allUniqueName="[MainTable].[Date].[All]" dimensionUniqueName="[MainTable]" displayFolder="" count="0" memberValueDatatype="7" unbalanced="0"/>
    <cacheHierarchy uniqueName="[MainTable].[Net profit]" caption="Net profit" attribute="1" defaultMemberUniqueName="[MainTable].[Net profit].[All]" allUniqueName="[MainTable].[Net profit].[All]" dimensionUniqueName="[MainTable]" displayFolder="" count="0" memberValueDatatype="5" unbalanced="0"/>
    <cacheHierarchy uniqueName="[MainTable].[City]" caption="City" attribute="1" defaultMemberUniqueName="[MainTable].[City].[All]" allUniqueName="[MainTable].[City].[All]" dimensionUniqueName="[MainTable]" displayFolder="" count="0" memberValueDatatype="130" unbalanced="0"/>
    <cacheHierarchy uniqueName="[MainTable].[the tax]" caption="the tax" attribute="1" defaultMemberUniqueName="[MainTable].[the tax].[All]" allUniqueName="[MainTable].[the tax].[All]" dimensionUniqueName="[MainTable]" displayFolder="" count="0" memberValueDatatype="5" unbalanced="0"/>
    <cacheHierarchy uniqueName="[MainTable].[collection date]" caption="collection date" attribute="1" time="1" defaultMemberUniqueName="[MainTable].[collection date].[All]" allUniqueName="[MainTable].[collection date].[All]" dimensionUniqueName="[MainTable]" displayFolder="" count="0" memberValueDatatype="7" unbalanced="0"/>
    <cacheHierarchy uniqueName="[MainTable].[Number of days remaining]" caption="Number of days remaining" attribute="1" defaultMemberUniqueName="[MainTable].[Number of days remaining].[All]" allUniqueName="[MainTable].[Number of days remaining].[All]" dimensionUniqueName="[MainTable]" displayFolder="" count="0" memberValueDatatype="20" unbalanced="0"/>
    <cacheHierarchy uniqueName="[MainTable].[Type of the jewelry]" caption="Type of the jewelry" attribute="1" defaultMemberUniqueName="[MainTable].[Type of the jewelry].[All]" allUniqueName="[MainTable].[Type of the jewelry].[All]" dimensionUniqueName="[MainTable]" displayFolder="" count="0" memberValueDatatype="130" unbalanced="0"/>
    <cacheHierarchy uniqueName="[MainTable].[Date (Month)]" caption="Date (Month)" attribute="1" defaultMemberUniqueName="[MainTable].[Date (Month)].[All]" allUniqueName="[MainTable].[Date (Month)].[All]" dimensionUniqueName="[MainTable]" displayFolder="" count="0" memberValueDatatype="130" unbalanced="0"/>
    <cacheHierarchy uniqueName="[MainTable].[Date (Quarter)]" caption="Date (Quarter)" attribute="1" defaultMemberUniqueName="[MainTable].[Date (Quarter)].[All]" allUniqueName="[MainTable].[Date (Quarter)].[All]" dimensionUniqueName="[MainTable]" displayFolder="" count="0" memberValueDatatype="130" unbalanced="0"/>
    <cacheHierarchy uniqueName="[MainTable].[Date (Day)]" caption="Date (Day)" attribute="1" defaultMemberUniqueName="[MainTable].[Date (Day)].[All]" allUniqueName="[MainTable].[Date (Day)].[All]" dimensionUniqueName="[MainTable]" displayFolder="" count="0" memberValueDatatype="130" unbalanced="0"/>
    <cacheHierarchy uniqueName="[MainTable].[Date (Hour)]" caption="Date (Hour)" attribute="1" defaultMemberUniqueName="[MainTable].[Date (Hour)].[All]" allUniqueName="[MainTable].[Date (Hour)].[All]" dimensionUniqueName="[MainTable]" displayFolder="" count="0" memberValueDatatype="130" unbalanced="0"/>
    <cacheHierarchy uniqueName="[Range].[Total sales]" caption="Total sales" attribute="1" defaultMemberUniqueName="[Range].[Total sales].[All]" allUniqueName="[Range].[Total sales].[All]" dimensionUniqueName="[Range]" displayFolder="" count="0" memberValueDatatype="5" unbalanced="0"/>
    <cacheHierarchy uniqueName="[Range].[Customers]" caption="Customers" attribute="1" defaultMemberUniqueName="[Range].[Customers].[All]" allUniqueName="[Range].[Customers].[All]" dimensionUniqueName="[Range]" displayFolder="" count="0" memberValueDatatype="130" unbalanced="0"/>
    <cacheHierarchy uniqueName="[Range].[Type of customer]" caption="Type of customer" attribute="1" defaultMemberUniqueName="[Range].[Type of customer].[All]" allUniqueName="[Range].[Type of customer].[All]" dimensionUniqueName="[Range]" displayFolder="" count="0" memberValueDatatype="130" unbalanced="0"/>
    <cacheHierarchy uniqueName="[Range].[percentage of sales]" caption="percentage of sales" attribute="1" defaultMemberUniqueName="[Range].[percentage of sales].[All]" allUniqueName="[Range].[percentage of sales].[All]" dimensionUniqueName="[Range]" displayFolder="" count="0" memberValueDatatype="5" unbalanced="0"/>
    <cacheHierarchy uniqueName="[Range].[City]" caption="City" attribute="1" defaultMemberUniqueName="[Range].[City].[All]" allUniqueName="[Range].[City].[All]" dimensionUniqueName="[Range]" displayFolder="" count="2" memberValueDatatype="130" unbalanced="0"/>
    <cacheHierarchy uniqueName="[SmallTable].[Total sales]" caption="Total sales" attribute="1" defaultMemberUniqueName="[SmallTable].[Total sales].[All]" allUniqueName="[SmallTable].[Total sales].[All]" dimensionUniqueName="[SmallTable]" displayFolder="" count="0" memberValueDatatype="5" unbalanced="0"/>
    <cacheHierarchy uniqueName="[SmallTable].[Customers]" caption="Customers" attribute="1" defaultMemberUniqueName="[SmallTable].[Customers].[All]" allUniqueName="[SmallTable].[Customers].[All]" dimensionUniqueName="[SmallTable]" displayFolder="" count="0" memberValueDatatype="130" unbalanced="0"/>
    <cacheHierarchy uniqueName="[SmallTable].[Type of customer]" caption="Type of customer" attribute="1" defaultMemberUniqueName="[SmallTable].[Type of customer].[All]" allUniqueName="[SmallTable].[Type of customer].[All]" dimensionUniqueName="[SmallTable]" displayFolder="" count="0" memberValueDatatype="130" unbalanced="0"/>
    <cacheHierarchy uniqueName="[SmallTable].[percentage of sales]" caption="percentage of sales" attribute="1" defaultMemberUniqueName="[SmallTable].[percentage of sales].[All]" allUniqueName="[SmallTable].[percentage of sales].[All]" dimensionUniqueName="[SmallTable]" displayFolder="" count="0" memberValueDatatype="5" unbalanced="0"/>
    <cacheHierarchy uniqueName="[SmallTable].[City]" caption="City" attribute="1" defaultMemberUniqueName="[SmallTable].[City].[All]" allUniqueName="[SmallTable].[City].[All]" dimensionUniqueName="[SmallTable]" displayFolder="" count="0" memberValueDatatype="130" unbalanced="0"/>
    <cacheHierarchy uniqueName="[MainTable].[Date (Day Index)]" caption="Date (Day Index)" attribute="1" defaultMemberUniqueName="[MainTable].[Date (Day Index)].[All]" allUniqueName="[MainTable].[Date (Day Index)].[All]" dimensionUniqueName="[MainTable]" displayFolder="" count="0" memberValueDatatype="5" unbalanced="0" hidden="1"/>
    <cacheHierarchy uniqueName="[MainTable].[Date (Month Index)]" caption="Date (Month Index)" attribute="1" defaultMemberUniqueName="[MainTable].[Date (Month Index)].[All]" allUniqueName="[MainTable].[Date (Month Index)].[All]" dimensionUniqueName="[MainTable]" displayFolder="" count="0" memberValueDatatype="20" unbalanced="0" hidden="1"/>
    <cacheHierarchy uniqueName="[Measures].[__XL_Count Range]" caption="__XL_Count Range" measure="1" displayFolder="" measureGroup="Range" count="0" hidden="1"/>
    <cacheHierarchy uniqueName="[Measures].[__XL_Count MainTable]" caption="__XL_Count MainTable" measure="1" displayFolder="" measureGroup="MainTable" count="0" hidden="1"/>
    <cacheHierarchy uniqueName="[Measures].[__XL_Count SmallTable]" caption="__XL_Count SmallTable" measure="1" displayFolder="" measureGroup="SmallTabl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14"/>
        </ext>
      </extLst>
    </cacheHierarchy>
    <cacheHierarchy uniqueName="[Measures].[Sum of percentage of sales]" caption="Sum of percentage of sales" measure="1" displayFolder="" measureGroup="Range" count="0" hidden="1">
      <extLst>
        <ext xmlns:x15="http://schemas.microsoft.com/office/spreadsheetml/2010/11/main" uri="{B97F6D7D-B522-45F9-BDA1-12C45D357490}">
          <x15:cacheHierarchy aggregatedColumn="17"/>
        </ext>
      </extLst>
    </cacheHierarchy>
    <cacheHierarchy uniqueName="[Measures].[Count of Type of customer]" caption="Count of Type of customer" measure="1" displayFolder="" measureGroup="Range" count="0" hidden="1">
      <extLst>
        <ext xmlns:x15="http://schemas.microsoft.com/office/spreadsheetml/2010/11/main" uri="{B97F6D7D-B522-45F9-BDA1-12C45D357490}">
          <x15:cacheHierarchy aggregatedColumn="16"/>
        </ext>
      </extLst>
    </cacheHierarchy>
    <cacheHierarchy uniqueName="[Measures].[Sum of The price]" caption="Sum of The price" measure="1" displayFolder="" measureGroup="MainTable" count="0" hidden="1">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MainTable" count="0" hidden="1">
      <extLst>
        <ext xmlns:x15="http://schemas.microsoft.com/office/spreadsheetml/2010/11/main" uri="{B97F6D7D-B522-45F9-BDA1-12C45D357490}">
          <x15:cacheHierarchy aggregatedColumn="4"/>
        </ext>
      </extLst>
    </cacheHierarchy>
    <cacheHierarchy uniqueName="[Measures].[Sum of Total sales 2]" caption="Sum of Total sales 2" measure="1" displayFolder="" measureGroup="SmallTable" count="0" hidden="1">
      <extLst>
        <ext xmlns:x15="http://schemas.microsoft.com/office/spreadsheetml/2010/11/main" uri="{B97F6D7D-B522-45F9-BDA1-12C45D357490}">
          <x15:cacheHierarchy aggregatedColumn="19"/>
        </ext>
      </extLst>
    </cacheHierarchy>
    <cacheHierarchy uniqueName="[Measures].[Sum of percentage of sales 2]" caption="Sum of percentage of sales 2" measure="1" displayFolder="" measureGroup="SmallTable" count="0" hidden="1">
      <extLst>
        <ext xmlns:x15="http://schemas.microsoft.com/office/spreadsheetml/2010/11/main" uri="{B97F6D7D-B522-45F9-BDA1-12C45D357490}">
          <x15:cacheHierarchy aggregatedColumn="22"/>
        </ext>
      </extLst>
    </cacheHierarchy>
    <cacheHierarchy uniqueName="[Measures].[Sum of the tax]" caption="Sum of the tax" measure="1" displayFolder="" measureGroup="MainTable"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75787317"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42.041713657411" backgroundQuery="1" createdVersion="3" refreshedVersion="8" minRefreshableVersion="3" recordCount="0" supportSubquery="1" supportAdvancedDrill="1" xr:uid="{10419A2E-101B-46DF-9B5D-4E0685185430}">
  <cacheSource type="external" connectionId="1">
    <extLst>
      <ext xmlns:x14="http://schemas.microsoft.com/office/spreadsheetml/2009/9/main" uri="{F057638F-6D5F-4e77-A914-E7F072B9BCA8}">
        <x14:sourceConnection name="ThisWorkbookDataModel"/>
      </ext>
    </extLst>
  </cacheSource>
  <cacheFields count="0"/>
  <cacheHierarchies count="38">
    <cacheHierarchy uniqueName="[MainTable].[Customers]" caption="Customers" attribute="1" defaultMemberUniqueName="[MainTable].[Customers].[All]" allUniqueName="[MainTable].[Customers].[All]" dimensionUniqueName="[MainTable]" displayFolder="" count="2" memberValueDatatype="130" unbalanced="0"/>
    <cacheHierarchy uniqueName="[MainTable].[Type of sale]" caption="Type of sale" attribute="1" defaultMemberUniqueName="[MainTable].[Type of sale].[All]" allUniqueName="[MainTable].[Type of sale].[All]" dimensionUniqueName="[MainTable]" displayFolder="" count="0" memberValueDatatype="130" unbalanced="0"/>
    <cacheHierarchy uniqueName="[MainTable].[The price]" caption="The price" attribute="1" defaultMemberUniqueName="[MainTable].[The price].[All]" allUniqueName="[MainTable].[The price].[All]" dimensionUniqueName="[MainTable]" displayFolder="" count="0" memberValueDatatype="20" unbalanced="0"/>
    <cacheHierarchy uniqueName="[MainTable].[Date]" caption="Date" attribute="1" time="1" defaultMemberUniqueName="[MainTable].[Date].[All]" allUniqueName="[MainTable].[Date].[All]" dimensionUniqueName="[MainTable]" displayFolder="" count="0" memberValueDatatype="7" unbalanced="0"/>
    <cacheHierarchy uniqueName="[MainTable].[Net profit]" caption="Net profit" attribute="1" defaultMemberUniqueName="[MainTable].[Net profit].[All]" allUniqueName="[MainTable].[Net profit].[All]" dimensionUniqueName="[MainTable]" displayFolder="" count="0" memberValueDatatype="5" unbalanced="0"/>
    <cacheHierarchy uniqueName="[MainTable].[City]" caption="City" attribute="1" defaultMemberUniqueName="[MainTable].[City].[All]" allUniqueName="[MainTable].[City].[All]" dimensionUniqueName="[MainTable]" displayFolder="" count="2" memberValueDatatype="130" unbalanced="0"/>
    <cacheHierarchy uniqueName="[MainTable].[the tax]" caption="the tax" attribute="1" defaultMemberUniqueName="[MainTable].[the tax].[All]" allUniqueName="[MainTable].[the tax].[All]" dimensionUniqueName="[MainTable]" displayFolder="" count="0" memberValueDatatype="5" unbalanced="0"/>
    <cacheHierarchy uniqueName="[MainTable].[collection date]" caption="collection date" attribute="1" time="1" defaultMemberUniqueName="[MainTable].[collection date].[All]" allUniqueName="[MainTable].[collection date].[All]" dimensionUniqueName="[MainTable]" displayFolder="" count="0" memberValueDatatype="7" unbalanced="0"/>
    <cacheHierarchy uniqueName="[MainTable].[Number of days remaining]" caption="Number of days remaining" attribute="1" defaultMemberUniqueName="[MainTable].[Number of days remaining].[All]" allUniqueName="[MainTable].[Number of days remaining].[All]" dimensionUniqueName="[MainTable]" displayFolder="" count="0" memberValueDatatype="20" unbalanced="0"/>
    <cacheHierarchy uniqueName="[MainTable].[Type of the jewelry]" caption="Type of the jewelry" attribute="1" defaultMemberUniqueName="[MainTable].[Type of the jewelry].[All]" allUniqueName="[MainTable].[Type of the jewelry].[All]" dimensionUniqueName="[MainTable]" displayFolder="" count="0" memberValueDatatype="130" unbalanced="0"/>
    <cacheHierarchy uniqueName="[MainTable].[Date (Month)]" caption="Date (Month)" attribute="1" defaultMemberUniqueName="[MainTable].[Date (Month)].[All]" allUniqueName="[MainTable].[Date (Month)].[All]" dimensionUniqueName="[MainTable]" displayFolder="" count="0" memberValueDatatype="130" unbalanced="0"/>
    <cacheHierarchy uniqueName="[MainTable].[Date (Quarter)]" caption="Date (Quarter)" attribute="1" defaultMemberUniqueName="[MainTable].[Date (Quarter)].[All]" allUniqueName="[MainTable].[Date (Quarter)].[All]" dimensionUniqueName="[MainTable]" displayFolder="" count="0" memberValueDatatype="130" unbalanced="0"/>
    <cacheHierarchy uniqueName="[MainTable].[Date (Day)]" caption="Date (Day)" attribute="1" defaultMemberUniqueName="[MainTable].[Date (Day)].[All]" allUniqueName="[MainTable].[Date (Day)].[All]" dimensionUniqueName="[MainTable]" displayFolder="" count="0" memberValueDatatype="130" unbalanced="0"/>
    <cacheHierarchy uniqueName="[MainTable].[Date (Hour)]" caption="Date (Hour)" attribute="1" defaultMemberUniqueName="[MainTable].[Date (Hour)].[All]" allUniqueName="[MainTable].[Date (Hour)].[All]" dimensionUniqueName="[MainTable]" displayFolder="" count="0" memberValueDatatype="130" unbalanced="0"/>
    <cacheHierarchy uniqueName="[Range].[Total sales]" caption="Total sales" attribute="1" defaultMemberUniqueName="[Range].[Total sales].[All]" allUniqueName="[Range].[Total sales].[All]" dimensionUniqueName="[Range]" displayFolder="" count="0" memberValueDatatype="5" unbalanced="0"/>
    <cacheHierarchy uniqueName="[Range].[Customers]" caption="Customers" attribute="1" defaultMemberUniqueName="[Range].[Customers].[All]" allUniqueName="[Range].[Customers].[All]" dimensionUniqueName="[Range]" displayFolder="" count="0" memberValueDatatype="130" unbalanced="0"/>
    <cacheHierarchy uniqueName="[Range].[Type of customer]" caption="Type of customer" attribute="1" defaultMemberUniqueName="[Range].[Type of customer].[All]" allUniqueName="[Range].[Type of customer].[All]" dimensionUniqueName="[Range]" displayFolder="" count="0" memberValueDatatype="130" unbalanced="0"/>
    <cacheHierarchy uniqueName="[Range].[percentage of sales]" caption="percentage of sales" attribute="1" defaultMemberUniqueName="[Range].[percentage of sales].[All]" allUniqueName="[Range].[percentage of sales].[All]" dimensionUniqueName="[Range]" displayFolder="" count="0" memberValueDatatype="5" unbalanced="0"/>
    <cacheHierarchy uniqueName="[Range].[City]" caption="City" attribute="1" defaultMemberUniqueName="[Range].[City].[All]" allUniqueName="[Range].[City].[All]" dimensionUniqueName="[Range]" displayFolder="" count="0" memberValueDatatype="130" unbalanced="0"/>
    <cacheHierarchy uniqueName="[SmallTable].[Total sales]" caption="Total sales" attribute="1" defaultMemberUniqueName="[SmallTable].[Total sales].[All]" allUniqueName="[SmallTable].[Total sales].[All]" dimensionUniqueName="[SmallTable]" displayFolder="" count="0" memberValueDatatype="5" unbalanced="0"/>
    <cacheHierarchy uniqueName="[SmallTable].[Customers]" caption="Customers" attribute="1" defaultMemberUniqueName="[SmallTable].[Customers].[All]" allUniqueName="[SmallTable].[Customers].[All]" dimensionUniqueName="[SmallTable]" displayFolder="" count="0" memberValueDatatype="130" unbalanced="0"/>
    <cacheHierarchy uniqueName="[SmallTable].[Type of customer]" caption="Type of customer" attribute="1" defaultMemberUniqueName="[SmallTable].[Type of customer].[All]" allUniqueName="[SmallTable].[Type of customer].[All]" dimensionUniqueName="[SmallTable]" displayFolder="" count="0" memberValueDatatype="130" unbalanced="0"/>
    <cacheHierarchy uniqueName="[SmallTable].[percentage of sales]" caption="percentage of sales" attribute="1" defaultMemberUniqueName="[SmallTable].[percentage of sales].[All]" allUniqueName="[SmallTable].[percentage of sales].[All]" dimensionUniqueName="[SmallTable]" displayFolder="" count="0" memberValueDatatype="5" unbalanced="0"/>
    <cacheHierarchy uniqueName="[SmallTable].[City]" caption="City" attribute="1" defaultMemberUniqueName="[SmallTable].[City].[All]" allUniqueName="[SmallTable].[City].[All]" dimensionUniqueName="[SmallTable]" displayFolder="" count="0" memberValueDatatype="130" unbalanced="0"/>
    <cacheHierarchy uniqueName="[MainTable].[Date (Day Index)]" caption="Date (Day Index)" attribute="1" defaultMemberUniqueName="[MainTable].[Date (Day Index)].[All]" allUniqueName="[MainTable].[Date (Day Index)].[All]" dimensionUniqueName="[MainTable]" displayFolder="" count="0" memberValueDatatype="5" unbalanced="0" hidden="1"/>
    <cacheHierarchy uniqueName="[MainTable].[Date (Month Index)]" caption="Date (Month Index)" attribute="1" defaultMemberUniqueName="[MainTable].[Date (Month Index)].[All]" allUniqueName="[MainTable].[Date (Month Index)].[All]" dimensionUniqueName="[MainTable]" displayFolder="" count="0" memberValueDatatype="20" unbalanced="0" hidden="1"/>
    <cacheHierarchy uniqueName="[Measures].[__XL_Count Range]" caption="__XL_Count Range" measure="1" displayFolder="" measureGroup="Range" count="0" hidden="1"/>
    <cacheHierarchy uniqueName="[Measures].[__XL_Count MainTable]" caption="__XL_Count MainTable" measure="1" displayFolder="" measureGroup="MainTable" count="0" hidden="1"/>
    <cacheHierarchy uniqueName="[Measures].[__XL_Count SmallTable]" caption="__XL_Count SmallTable" measure="1" displayFolder="" measureGroup="SmallTabl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14"/>
        </ext>
      </extLst>
    </cacheHierarchy>
    <cacheHierarchy uniqueName="[Measures].[Sum of percentage of sales]" caption="Sum of percentage of sales" measure="1" displayFolder="" measureGroup="Range" count="0" hidden="1">
      <extLst>
        <ext xmlns:x15="http://schemas.microsoft.com/office/spreadsheetml/2010/11/main" uri="{B97F6D7D-B522-45F9-BDA1-12C45D357490}">
          <x15:cacheHierarchy aggregatedColumn="17"/>
        </ext>
      </extLst>
    </cacheHierarchy>
    <cacheHierarchy uniqueName="[Measures].[Count of Type of customer]" caption="Count of Type of customer" measure="1" displayFolder="" measureGroup="Range" count="0" hidden="1">
      <extLst>
        <ext xmlns:x15="http://schemas.microsoft.com/office/spreadsheetml/2010/11/main" uri="{B97F6D7D-B522-45F9-BDA1-12C45D357490}">
          <x15:cacheHierarchy aggregatedColumn="16"/>
        </ext>
      </extLst>
    </cacheHierarchy>
    <cacheHierarchy uniqueName="[Measures].[Sum of The price]" caption="Sum of The price" measure="1" displayFolder="" measureGroup="MainTable" count="0" hidden="1">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MainTable" count="0" hidden="1">
      <extLst>
        <ext xmlns:x15="http://schemas.microsoft.com/office/spreadsheetml/2010/11/main" uri="{B97F6D7D-B522-45F9-BDA1-12C45D357490}">
          <x15:cacheHierarchy aggregatedColumn="4"/>
        </ext>
      </extLst>
    </cacheHierarchy>
    <cacheHierarchy uniqueName="[Measures].[Sum of Total sales 2]" caption="Sum of Total sales 2" measure="1" displayFolder="" measureGroup="SmallTable" count="0" hidden="1">
      <extLst>
        <ext xmlns:x15="http://schemas.microsoft.com/office/spreadsheetml/2010/11/main" uri="{B97F6D7D-B522-45F9-BDA1-12C45D357490}">
          <x15:cacheHierarchy aggregatedColumn="19"/>
        </ext>
      </extLst>
    </cacheHierarchy>
    <cacheHierarchy uniqueName="[Measures].[Sum of percentage of sales 2]" caption="Sum of percentage of sales 2" measure="1" displayFolder="" measureGroup="SmallTable" count="0" hidden="1">
      <extLst>
        <ext xmlns:x15="http://schemas.microsoft.com/office/spreadsheetml/2010/11/main" uri="{B97F6D7D-B522-45F9-BDA1-12C45D357490}">
          <x15:cacheHierarchy aggregatedColumn="22"/>
        </ext>
      </extLst>
    </cacheHierarchy>
    <cacheHierarchy uniqueName="[Measures].[Sum of the tax]" caption="Sum of the tax" measure="1" displayFolder="" measureGroup="MainTable"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2085292823"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42.041735648148" backgroundQuery="1" createdVersion="3" refreshedVersion="8" minRefreshableVersion="3" recordCount="0" supportSubquery="1" supportAdvancedDrill="1" xr:uid="{AB41C200-04A1-44AB-BDED-3A41774DA790}">
  <cacheSource type="external" connectionId="1">
    <extLst>
      <ext xmlns:x14="http://schemas.microsoft.com/office/spreadsheetml/2009/9/main" uri="{F057638F-6D5F-4e77-A914-E7F072B9BCA8}">
        <x14:sourceConnection name="ThisWorkbookDataModel"/>
      </ext>
    </extLst>
  </cacheSource>
  <cacheFields count="0"/>
  <cacheHierarchies count="38">
    <cacheHierarchy uniqueName="[MainTable].[Customers]" caption="Customers" attribute="1" defaultMemberUniqueName="[MainTable].[Customers].[All]" allUniqueName="[MainTable].[Customers].[All]" dimensionUniqueName="[MainTable]" displayFolder="" count="2" memberValueDatatype="130" unbalanced="0"/>
    <cacheHierarchy uniqueName="[MainTable].[Type of sale]" caption="Type of sale" attribute="1" defaultMemberUniqueName="[MainTable].[Type of sale].[All]" allUniqueName="[MainTable].[Type of sale].[All]" dimensionUniqueName="[MainTable]" displayFolder="" count="0" memberValueDatatype="130" unbalanced="0"/>
    <cacheHierarchy uniqueName="[MainTable].[The price]" caption="The price" attribute="1" defaultMemberUniqueName="[MainTable].[The price].[All]" allUniqueName="[MainTable].[The price].[All]" dimensionUniqueName="[MainTable]" displayFolder="" count="0" memberValueDatatype="20" unbalanced="0"/>
    <cacheHierarchy uniqueName="[MainTable].[Date]" caption="Date" attribute="1" time="1" defaultMemberUniqueName="[MainTable].[Date].[All]" allUniqueName="[MainTable].[Date].[All]" dimensionUniqueName="[MainTable]" displayFolder="" count="0" memberValueDatatype="7" unbalanced="0"/>
    <cacheHierarchy uniqueName="[MainTable].[Net profit]" caption="Net profit" attribute="1" defaultMemberUniqueName="[MainTable].[Net profit].[All]" allUniqueName="[MainTable].[Net profit].[All]" dimensionUniqueName="[MainTable]" displayFolder="" count="0" memberValueDatatype="5" unbalanced="0"/>
    <cacheHierarchy uniqueName="[MainTable].[City]" caption="City" attribute="1" defaultMemberUniqueName="[MainTable].[City].[All]" allUniqueName="[MainTable].[City].[All]" dimensionUniqueName="[MainTable]" displayFolder="" count="0" memberValueDatatype="130" unbalanced="0"/>
    <cacheHierarchy uniqueName="[MainTable].[the tax]" caption="the tax" attribute="1" defaultMemberUniqueName="[MainTable].[the tax].[All]" allUniqueName="[MainTable].[the tax].[All]" dimensionUniqueName="[MainTable]" displayFolder="" count="0" memberValueDatatype="5" unbalanced="0"/>
    <cacheHierarchy uniqueName="[MainTable].[collection date]" caption="collection date" attribute="1" time="1" defaultMemberUniqueName="[MainTable].[collection date].[All]" allUniqueName="[MainTable].[collection date].[All]" dimensionUniqueName="[MainTable]" displayFolder="" count="0" memberValueDatatype="7" unbalanced="0"/>
    <cacheHierarchy uniqueName="[MainTable].[Number of days remaining]" caption="Number of days remaining" attribute="1" defaultMemberUniqueName="[MainTable].[Number of days remaining].[All]" allUniqueName="[MainTable].[Number of days remaining].[All]" dimensionUniqueName="[MainTable]" displayFolder="" count="0" memberValueDatatype="20" unbalanced="0"/>
    <cacheHierarchy uniqueName="[MainTable].[Type of the jewelry]" caption="Type of the jewelry" attribute="1" defaultMemberUniqueName="[MainTable].[Type of the jewelry].[All]" allUniqueName="[MainTable].[Type of the jewelry].[All]" dimensionUniqueName="[MainTable]" displayFolder="" count="0" memberValueDatatype="130" unbalanced="0"/>
    <cacheHierarchy uniqueName="[MainTable].[Date (Month)]" caption="Date (Month)" attribute="1" defaultMemberUniqueName="[MainTable].[Date (Month)].[All]" allUniqueName="[MainTable].[Date (Month)].[All]" dimensionUniqueName="[MainTable]" displayFolder="" count="0" memberValueDatatype="130" unbalanced="0"/>
    <cacheHierarchy uniqueName="[MainTable].[Date (Quarter)]" caption="Date (Quarter)" attribute="1" defaultMemberUniqueName="[MainTable].[Date (Quarter)].[All]" allUniqueName="[MainTable].[Date (Quarter)].[All]" dimensionUniqueName="[MainTable]" displayFolder="" count="0" memberValueDatatype="130" unbalanced="0"/>
    <cacheHierarchy uniqueName="[MainTable].[Date (Day)]" caption="Date (Day)" attribute="1" defaultMemberUniqueName="[MainTable].[Date (Day)].[All]" allUniqueName="[MainTable].[Date (Day)].[All]" dimensionUniqueName="[MainTable]" displayFolder="" count="0" memberValueDatatype="130" unbalanced="0"/>
    <cacheHierarchy uniqueName="[MainTable].[Date (Hour)]" caption="Date (Hour)" attribute="1" defaultMemberUniqueName="[MainTable].[Date (Hour)].[All]" allUniqueName="[MainTable].[Date (Hour)].[All]" dimensionUniqueName="[MainTable]" displayFolder="" count="0" memberValueDatatype="130" unbalanced="0"/>
    <cacheHierarchy uniqueName="[Range].[Total sales]" caption="Total sales" attribute="1" defaultMemberUniqueName="[Range].[Total sales].[All]" allUniqueName="[Range].[Total sales].[All]" dimensionUniqueName="[Range]" displayFolder="" count="0" memberValueDatatype="5" unbalanced="0"/>
    <cacheHierarchy uniqueName="[Range].[Customers]" caption="Customers" attribute="1" defaultMemberUniqueName="[Range].[Customers].[All]" allUniqueName="[Range].[Customers].[All]" dimensionUniqueName="[Range]" displayFolder="" count="0" memberValueDatatype="130" unbalanced="0"/>
    <cacheHierarchy uniqueName="[Range].[Type of customer]" caption="Type of customer" attribute="1" defaultMemberUniqueName="[Range].[Type of customer].[All]" allUniqueName="[Range].[Type of customer].[All]" dimensionUniqueName="[Range]" displayFolder="" count="0" memberValueDatatype="130" unbalanced="0"/>
    <cacheHierarchy uniqueName="[Range].[percentage of sales]" caption="percentage of sales" attribute="1" defaultMemberUniqueName="[Range].[percentage of sales].[All]" allUniqueName="[Range].[percentage of sales].[All]" dimensionUniqueName="[Range]" displayFolder="" count="0" memberValueDatatype="5" unbalanced="0"/>
    <cacheHierarchy uniqueName="[Range].[City]" caption="City" attribute="1" defaultMemberUniqueName="[Range].[City].[All]" allUniqueName="[Range].[City].[All]" dimensionUniqueName="[Range]" displayFolder="" count="0" memberValueDatatype="130" unbalanced="0"/>
    <cacheHierarchy uniqueName="[SmallTable].[Total sales]" caption="Total sales" attribute="1" defaultMemberUniqueName="[SmallTable].[Total sales].[All]" allUniqueName="[SmallTable].[Total sales].[All]" dimensionUniqueName="[SmallTable]" displayFolder="" count="0" memberValueDatatype="5" unbalanced="0"/>
    <cacheHierarchy uniqueName="[SmallTable].[Customers]" caption="Customers" attribute="1" defaultMemberUniqueName="[SmallTable].[Customers].[All]" allUniqueName="[SmallTable].[Customers].[All]" dimensionUniqueName="[SmallTable]" displayFolder="" count="2" memberValueDatatype="130" unbalanced="0"/>
    <cacheHierarchy uniqueName="[SmallTable].[Type of customer]" caption="Type of customer" attribute="1" defaultMemberUniqueName="[SmallTable].[Type of customer].[All]" allUniqueName="[SmallTable].[Type of customer].[All]" dimensionUniqueName="[SmallTable]" displayFolder="" count="0" memberValueDatatype="130" unbalanced="0"/>
    <cacheHierarchy uniqueName="[SmallTable].[percentage of sales]" caption="percentage of sales" attribute="1" defaultMemberUniqueName="[SmallTable].[percentage of sales].[All]" allUniqueName="[SmallTable].[percentage of sales].[All]" dimensionUniqueName="[SmallTable]" displayFolder="" count="0" memberValueDatatype="5" unbalanced="0"/>
    <cacheHierarchy uniqueName="[SmallTable].[City]" caption="City" attribute="1" defaultMemberUniqueName="[SmallTable].[City].[All]" allUniqueName="[SmallTable].[City].[All]" dimensionUniqueName="[SmallTable]" displayFolder="" count="0" memberValueDatatype="130" unbalanced="0"/>
    <cacheHierarchy uniqueName="[MainTable].[Date (Day Index)]" caption="Date (Day Index)" attribute="1" defaultMemberUniqueName="[MainTable].[Date (Day Index)].[All]" allUniqueName="[MainTable].[Date (Day Index)].[All]" dimensionUniqueName="[MainTable]" displayFolder="" count="0" memberValueDatatype="5" unbalanced="0" hidden="1"/>
    <cacheHierarchy uniqueName="[MainTable].[Date (Month Index)]" caption="Date (Month Index)" attribute="1" defaultMemberUniqueName="[MainTable].[Date (Month Index)].[All]" allUniqueName="[MainTable].[Date (Month Index)].[All]" dimensionUniqueName="[MainTable]" displayFolder="" count="0" memberValueDatatype="20" unbalanced="0" hidden="1"/>
    <cacheHierarchy uniqueName="[Measures].[__XL_Count Range]" caption="__XL_Count Range" measure="1" displayFolder="" measureGroup="Range" count="0" hidden="1"/>
    <cacheHierarchy uniqueName="[Measures].[__XL_Count MainTable]" caption="__XL_Count MainTable" measure="1" displayFolder="" measureGroup="MainTable" count="0" hidden="1"/>
    <cacheHierarchy uniqueName="[Measures].[__XL_Count SmallTable]" caption="__XL_Count SmallTable" measure="1" displayFolder="" measureGroup="SmallTabl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14"/>
        </ext>
      </extLst>
    </cacheHierarchy>
    <cacheHierarchy uniqueName="[Measures].[Sum of percentage of sales]" caption="Sum of percentage of sales" measure="1" displayFolder="" measureGroup="Range" count="0" hidden="1">
      <extLst>
        <ext xmlns:x15="http://schemas.microsoft.com/office/spreadsheetml/2010/11/main" uri="{B97F6D7D-B522-45F9-BDA1-12C45D357490}">
          <x15:cacheHierarchy aggregatedColumn="17"/>
        </ext>
      </extLst>
    </cacheHierarchy>
    <cacheHierarchy uniqueName="[Measures].[Count of Type of customer]" caption="Count of Type of customer" measure="1" displayFolder="" measureGroup="Range" count="0" hidden="1">
      <extLst>
        <ext xmlns:x15="http://schemas.microsoft.com/office/spreadsheetml/2010/11/main" uri="{B97F6D7D-B522-45F9-BDA1-12C45D357490}">
          <x15:cacheHierarchy aggregatedColumn="16"/>
        </ext>
      </extLst>
    </cacheHierarchy>
    <cacheHierarchy uniqueName="[Measures].[Sum of The price]" caption="Sum of The price" measure="1" displayFolder="" measureGroup="MainTable" count="0" hidden="1">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MainTable" count="0" hidden="1">
      <extLst>
        <ext xmlns:x15="http://schemas.microsoft.com/office/spreadsheetml/2010/11/main" uri="{B97F6D7D-B522-45F9-BDA1-12C45D357490}">
          <x15:cacheHierarchy aggregatedColumn="4"/>
        </ext>
      </extLst>
    </cacheHierarchy>
    <cacheHierarchy uniqueName="[Measures].[Sum of Total sales 2]" caption="Sum of Total sales 2" measure="1" displayFolder="" measureGroup="SmallTable" count="0" hidden="1">
      <extLst>
        <ext xmlns:x15="http://schemas.microsoft.com/office/spreadsheetml/2010/11/main" uri="{B97F6D7D-B522-45F9-BDA1-12C45D357490}">
          <x15:cacheHierarchy aggregatedColumn="19"/>
        </ext>
      </extLst>
    </cacheHierarchy>
    <cacheHierarchy uniqueName="[Measures].[Sum of percentage of sales 2]" caption="Sum of percentage of sales 2" measure="1" displayFolder="" measureGroup="SmallTable" count="0" hidden="1">
      <extLst>
        <ext xmlns:x15="http://schemas.microsoft.com/office/spreadsheetml/2010/11/main" uri="{B97F6D7D-B522-45F9-BDA1-12C45D357490}">
          <x15:cacheHierarchy aggregatedColumn="22"/>
        </ext>
      </extLst>
    </cacheHierarchy>
    <cacheHierarchy uniqueName="[Measures].[Sum of the tax]" caption="Sum of the tax" measure="1" displayFolder="" measureGroup="MainTable"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566058008"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042.041723726848" backgroundQuery="1" createdVersion="3" refreshedVersion="8" minRefreshableVersion="3" recordCount="0" supportSubquery="1" supportAdvancedDrill="1" xr:uid="{8F1965CB-FB2F-436E-BA7E-4CF627C90974}">
  <cacheSource type="external" connectionId="1">
    <extLst>
      <ext xmlns:x14="http://schemas.microsoft.com/office/spreadsheetml/2009/9/main" uri="{F057638F-6D5F-4e77-A914-E7F072B9BCA8}">
        <x14:sourceConnection name="ThisWorkbookDataModel"/>
      </ext>
    </extLst>
  </cacheSource>
  <cacheFields count="0"/>
  <cacheHierarchies count="38">
    <cacheHierarchy uniqueName="[MainTable].[Customers]" caption="Customers" attribute="1" defaultMemberUniqueName="[MainTable].[Customers].[All]" allUniqueName="[MainTable].[Customers].[All]" dimensionUniqueName="[MainTable]" displayFolder="" count="0" memberValueDatatype="130" unbalanced="0"/>
    <cacheHierarchy uniqueName="[MainTable].[Type of sale]" caption="Type of sale" attribute="1" defaultMemberUniqueName="[MainTable].[Type of sale].[All]" allUniqueName="[MainTable].[Type of sale].[All]" dimensionUniqueName="[MainTable]" displayFolder="" count="0" memberValueDatatype="130" unbalanced="0"/>
    <cacheHierarchy uniqueName="[MainTable].[The price]" caption="The price" attribute="1" defaultMemberUniqueName="[MainTable].[The price].[All]" allUniqueName="[MainTable].[The price].[All]" dimensionUniqueName="[MainTable]" displayFolder="" count="0" memberValueDatatype="20" unbalanced="0"/>
    <cacheHierarchy uniqueName="[MainTable].[Date]" caption="Date" attribute="1" time="1" defaultMemberUniqueName="[MainTable].[Date].[All]" allUniqueName="[MainTable].[Date].[All]" dimensionUniqueName="[MainTable]" displayFolder="" count="2" memberValueDatatype="7" unbalanced="0"/>
    <cacheHierarchy uniqueName="[MainTable].[Net profit]" caption="Net profit" attribute="1" defaultMemberUniqueName="[MainTable].[Net profit].[All]" allUniqueName="[MainTable].[Net profit].[All]" dimensionUniqueName="[MainTable]" displayFolder="" count="0" memberValueDatatype="5" unbalanced="0"/>
    <cacheHierarchy uniqueName="[MainTable].[City]" caption="City" attribute="1" defaultMemberUniqueName="[MainTable].[City].[All]" allUniqueName="[MainTable].[City].[All]" dimensionUniqueName="[MainTable]" displayFolder="" count="0" memberValueDatatype="130" unbalanced="0"/>
    <cacheHierarchy uniqueName="[MainTable].[the tax]" caption="the tax" attribute="1" defaultMemberUniqueName="[MainTable].[the tax].[All]" allUniqueName="[MainTable].[the tax].[All]" dimensionUniqueName="[MainTable]" displayFolder="" count="0" memberValueDatatype="5" unbalanced="0"/>
    <cacheHierarchy uniqueName="[MainTable].[collection date]" caption="collection date" attribute="1" time="1" defaultMemberUniqueName="[MainTable].[collection date].[All]" allUniqueName="[MainTable].[collection date].[All]" dimensionUniqueName="[MainTable]" displayFolder="" count="0" memberValueDatatype="7" unbalanced="0"/>
    <cacheHierarchy uniqueName="[MainTable].[Number of days remaining]" caption="Number of days remaining" attribute="1" defaultMemberUniqueName="[MainTable].[Number of days remaining].[All]" allUniqueName="[MainTable].[Number of days remaining].[All]" dimensionUniqueName="[MainTable]" displayFolder="" count="0" memberValueDatatype="20" unbalanced="0"/>
    <cacheHierarchy uniqueName="[MainTable].[Type of the jewelry]" caption="Type of the jewelry" attribute="1" defaultMemberUniqueName="[MainTable].[Type of the jewelry].[All]" allUniqueName="[MainTable].[Type of the jewelry].[All]" dimensionUniqueName="[MainTable]" displayFolder="" count="0" memberValueDatatype="130" unbalanced="0"/>
    <cacheHierarchy uniqueName="[MainTable].[Date (Month)]" caption="Date (Month)" attribute="1" defaultMemberUniqueName="[MainTable].[Date (Month)].[All]" allUniqueName="[MainTable].[Date (Month)].[All]" dimensionUniqueName="[MainTable]" displayFolder="" count="0" memberValueDatatype="130" unbalanced="0"/>
    <cacheHierarchy uniqueName="[MainTable].[Date (Quarter)]" caption="Date (Quarter)" attribute="1" defaultMemberUniqueName="[MainTable].[Date (Quarter)].[All]" allUniqueName="[MainTable].[Date (Quarter)].[All]" dimensionUniqueName="[MainTable]" displayFolder="" count="0" memberValueDatatype="130" unbalanced="0"/>
    <cacheHierarchy uniqueName="[MainTable].[Date (Day)]" caption="Date (Day)" attribute="1" defaultMemberUniqueName="[MainTable].[Date (Day)].[All]" allUniqueName="[MainTable].[Date (Day)].[All]" dimensionUniqueName="[MainTable]" displayFolder="" count="0" memberValueDatatype="130" unbalanced="0"/>
    <cacheHierarchy uniqueName="[MainTable].[Date (Hour)]" caption="Date (Hour)" attribute="1" defaultMemberUniqueName="[MainTable].[Date (Hour)].[All]" allUniqueName="[MainTable].[Date (Hour)].[All]" dimensionUniqueName="[MainTable]" displayFolder="" count="0" memberValueDatatype="130" unbalanced="0"/>
    <cacheHierarchy uniqueName="[Range].[Total sales]" caption="Total sales" attribute="1" defaultMemberUniqueName="[Range].[Total sales].[All]" allUniqueName="[Range].[Total sales].[All]" dimensionUniqueName="[Range]" displayFolder="" count="0" memberValueDatatype="5" unbalanced="0"/>
    <cacheHierarchy uniqueName="[Range].[Customers]" caption="Customers" attribute="1" defaultMemberUniqueName="[Range].[Customers].[All]" allUniqueName="[Range].[Customers].[All]" dimensionUniqueName="[Range]" displayFolder="" count="0" memberValueDatatype="130" unbalanced="0"/>
    <cacheHierarchy uniqueName="[Range].[Type of customer]" caption="Type of customer" attribute="1" defaultMemberUniqueName="[Range].[Type of customer].[All]" allUniqueName="[Range].[Type of customer].[All]" dimensionUniqueName="[Range]" displayFolder="" count="0" memberValueDatatype="130" unbalanced="0"/>
    <cacheHierarchy uniqueName="[Range].[percentage of sales]" caption="percentage of sales" attribute="1" defaultMemberUniqueName="[Range].[percentage of sales].[All]" allUniqueName="[Range].[percentage of sales].[All]" dimensionUniqueName="[Range]" displayFolder="" count="0" memberValueDatatype="5" unbalanced="0"/>
    <cacheHierarchy uniqueName="[Range].[City]" caption="City" attribute="1" defaultMemberUniqueName="[Range].[City].[All]" allUniqueName="[Range].[City].[All]" dimensionUniqueName="[Range]" displayFolder="" count="0" memberValueDatatype="130" unbalanced="0"/>
    <cacheHierarchy uniqueName="[SmallTable].[Total sales]" caption="Total sales" attribute="1" defaultMemberUniqueName="[SmallTable].[Total sales].[All]" allUniqueName="[SmallTable].[Total sales].[All]" dimensionUniqueName="[SmallTable]" displayFolder="" count="0" memberValueDatatype="5" unbalanced="0"/>
    <cacheHierarchy uniqueName="[SmallTable].[Customers]" caption="Customers" attribute="1" defaultMemberUniqueName="[SmallTable].[Customers].[All]" allUniqueName="[SmallTable].[Customers].[All]" dimensionUniqueName="[SmallTable]" displayFolder="" count="0" memberValueDatatype="130" unbalanced="0"/>
    <cacheHierarchy uniqueName="[SmallTable].[Type of customer]" caption="Type of customer" attribute="1" defaultMemberUniqueName="[SmallTable].[Type of customer].[All]" allUniqueName="[SmallTable].[Type of customer].[All]" dimensionUniqueName="[SmallTable]" displayFolder="" count="0" memberValueDatatype="130" unbalanced="0"/>
    <cacheHierarchy uniqueName="[SmallTable].[percentage of sales]" caption="percentage of sales" attribute="1" defaultMemberUniqueName="[SmallTable].[percentage of sales].[All]" allUniqueName="[SmallTable].[percentage of sales].[All]" dimensionUniqueName="[SmallTable]" displayFolder="" count="0" memberValueDatatype="5" unbalanced="0"/>
    <cacheHierarchy uniqueName="[SmallTable].[City]" caption="City" attribute="1" defaultMemberUniqueName="[SmallTable].[City].[All]" allUniqueName="[SmallTable].[City].[All]" dimensionUniqueName="[SmallTable]" displayFolder="" count="0" memberValueDatatype="130" unbalanced="0"/>
    <cacheHierarchy uniqueName="[MainTable].[Date (Day Index)]" caption="Date (Day Index)" attribute="1" defaultMemberUniqueName="[MainTable].[Date (Day Index)].[All]" allUniqueName="[MainTable].[Date (Day Index)].[All]" dimensionUniqueName="[MainTable]" displayFolder="" count="0" memberValueDatatype="5" unbalanced="0" hidden="1"/>
    <cacheHierarchy uniqueName="[MainTable].[Date (Month Index)]" caption="Date (Month Index)" attribute="1" defaultMemberUniqueName="[MainTable].[Date (Month Index)].[All]" allUniqueName="[MainTable].[Date (Month Index)].[All]" dimensionUniqueName="[MainTable]" displayFolder="" count="0" memberValueDatatype="20" unbalanced="0" hidden="1"/>
    <cacheHierarchy uniqueName="[Measures].[__XL_Count Range]" caption="__XL_Count Range" measure="1" displayFolder="" measureGroup="Range" count="0" hidden="1"/>
    <cacheHierarchy uniqueName="[Measures].[__XL_Count MainTable]" caption="__XL_Count MainTable" measure="1" displayFolder="" measureGroup="MainTable" count="0" hidden="1"/>
    <cacheHierarchy uniqueName="[Measures].[__XL_Count SmallTable]" caption="__XL_Count SmallTable" measure="1" displayFolder="" measureGroup="SmallTabl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14"/>
        </ext>
      </extLst>
    </cacheHierarchy>
    <cacheHierarchy uniqueName="[Measures].[Sum of percentage of sales]" caption="Sum of percentage of sales" measure="1" displayFolder="" measureGroup="Range" count="0" hidden="1">
      <extLst>
        <ext xmlns:x15="http://schemas.microsoft.com/office/spreadsheetml/2010/11/main" uri="{B97F6D7D-B522-45F9-BDA1-12C45D357490}">
          <x15:cacheHierarchy aggregatedColumn="17"/>
        </ext>
      </extLst>
    </cacheHierarchy>
    <cacheHierarchy uniqueName="[Measures].[Count of Type of customer]" caption="Count of Type of customer" measure="1" displayFolder="" measureGroup="Range" count="0" hidden="1">
      <extLst>
        <ext xmlns:x15="http://schemas.microsoft.com/office/spreadsheetml/2010/11/main" uri="{B97F6D7D-B522-45F9-BDA1-12C45D357490}">
          <x15:cacheHierarchy aggregatedColumn="16"/>
        </ext>
      </extLst>
    </cacheHierarchy>
    <cacheHierarchy uniqueName="[Measures].[Sum of The price]" caption="Sum of The price" measure="1" displayFolder="" measureGroup="MainTable" count="0" hidden="1">
      <extLst>
        <ext xmlns:x15="http://schemas.microsoft.com/office/spreadsheetml/2010/11/main" uri="{B97F6D7D-B522-45F9-BDA1-12C45D357490}">
          <x15:cacheHierarchy aggregatedColumn="2"/>
        </ext>
      </extLst>
    </cacheHierarchy>
    <cacheHierarchy uniqueName="[Measures].[Sum of Net profit]" caption="Sum of Net profit" measure="1" displayFolder="" measureGroup="MainTable" count="0" hidden="1">
      <extLst>
        <ext xmlns:x15="http://schemas.microsoft.com/office/spreadsheetml/2010/11/main" uri="{B97F6D7D-B522-45F9-BDA1-12C45D357490}">
          <x15:cacheHierarchy aggregatedColumn="4"/>
        </ext>
      </extLst>
    </cacheHierarchy>
    <cacheHierarchy uniqueName="[Measures].[Sum of Total sales 2]" caption="Sum of Total sales 2" measure="1" displayFolder="" measureGroup="SmallTable" count="0" hidden="1">
      <extLst>
        <ext xmlns:x15="http://schemas.microsoft.com/office/spreadsheetml/2010/11/main" uri="{B97F6D7D-B522-45F9-BDA1-12C45D357490}">
          <x15:cacheHierarchy aggregatedColumn="19"/>
        </ext>
      </extLst>
    </cacheHierarchy>
    <cacheHierarchy uniqueName="[Measures].[Sum of percentage of sales 2]" caption="Sum of percentage of sales 2" measure="1" displayFolder="" measureGroup="SmallTable" count="0" hidden="1">
      <extLst>
        <ext xmlns:x15="http://schemas.microsoft.com/office/spreadsheetml/2010/11/main" uri="{B97F6D7D-B522-45F9-BDA1-12C45D357490}">
          <x15:cacheHierarchy aggregatedColumn="22"/>
        </ext>
      </extLst>
    </cacheHierarchy>
    <cacheHierarchy uniqueName="[Measures].[Sum of the tax]" caption="Sum of the tax" measure="1" displayFolder="" measureGroup="MainTable"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pivotCacheId="125236292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s v="necklace"/>
    <n v="100"/>
    <x v="0"/>
    <x v="0"/>
    <x v="0"/>
    <n v="0.05"/>
    <d v="2025-03-31T00:00:00"/>
    <n v="-298"/>
    <s v="Gold"/>
  </r>
  <r>
    <x v="1"/>
    <s v="ring"/>
    <n v="50"/>
    <x v="1"/>
    <x v="1"/>
    <x v="1"/>
    <n v="0.02"/>
    <d v="2025-03-31T00:00:00"/>
    <n v="-298"/>
    <s v="Diamond"/>
  </r>
  <r>
    <x v="2"/>
    <s v="wristband"/>
    <n v="40"/>
    <x v="2"/>
    <x v="2"/>
    <x v="2"/>
    <n v="0.02"/>
    <d v="2025-03-31T00:00:00"/>
    <n v="-298"/>
    <s v="Gold"/>
  </r>
  <r>
    <x v="3"/>
    <s v="ring"/>
    <n v="150"/>
    <x v="3"/>
    <x v="3"/>
    <x v="3"/>
    <n v="7.0000000000000007E-2"/>
    <d v="2025-03-31T00:00:00"/>
    <n v="-298"/>
    <s v="Diamond"/>
  </r>
  <r>
    <x v="0"/>
    <s v="sunglasses"/>
    <n v="55"/>
    <x v="4"/>
    <x v="4"/>
    <x v="0"/>
    <n v="0.01"/>
    <d v="2025-03-31T00:00:00"/>
    <n v="-298"/>
    <s v="Gold"/>
  </r>
  <r>
    <x v="4"/>
    <s v="necklace"/>
    <n v="45"/>
    <x v="5"/>
    <x v="5"/>
    <x v="4"/>
    <n v="0.01"/>
    <d v="2025-03-31T00:00:00"/>
    <n v="-298"/>
    <s v="Gold"/>
  </r>
  <r>
    <x v="5"/>
    <s v="sunglasses"/>
    <n v="20"/>
    <x v="6"/>
    <x v="6"/>
    <x v="0"/>
    <n v="1.2E-2"/>
    <d v="2025-03-31T00:00:00"/>
    <n v="-298"/>
    <s v="Gold"/>
  </r>
  <r>
    <x v="6"/>
    <s v="sunglasses"/>
    <n v="20"/>
    <x v="7"/>
    <x v="6"/>
    <x v="2"/>
    <n v="1.2E-2"/>
    <d v="2025-03-31T00:00:00"/>
    <n v="-298"/>
    <s v="Gold"/>
  </r>
  <r>
    <x v="1"/>
    <s v="necklace"/>
    <n v="150"/>
    <x v="8"/>
    <x v="3"/>
    <x v="1"/>
    <n v="7.0000000000000007E-2"/>
    <d v="2025-03-31T00:00:00"/>
    <n v="-298"/>
    <s v="Diamond"/>
  </r>
  <r>
    <x v="2"/>
    <s v="wristband"/>
    <n v="60"/>
    <x v="9"/>
    <x v="7"/>
    <x v="2"/>
    <n v="0.03"/>
    <d v="2025-03-31T00:00:00"/>
    <n v="-298"/>
    <s v="Gold"/>
  </r>
  <r>
    <x v="4"/>
    <s v="wristband"/>
    <n v="150"/>
    <x v="10"/>
    <x v="8"/>
    <x v="5"/>
    <n v="0.1"/>
    <d v="2025-03-31T00:00:00"/>
    <n v="-298"/>
    <s v="Gold"/>
  </r>
  <r>
    <x v="3"/>
    <s v="ring"/>
    <n v="35"/>
    <x v="11"/>
    <x v="9"/>
    <x v="3"/>
    <n v="0.04"/>
    <d v="2025-03-31T00:00:00"/>
    <n v="-298"/>
    <s v="Diamond"/>
  </r>
  <r>
    <x v="6"/>
    <s v="necklace"/>
    <n v="75"/>
    <x v="12"/>
    <x v="10"/>
    <x v="2"/>
    <n v="7.0000000000000007E-2"/>
    <d v="2025-03-31T00:00:00"/>
    <n v="-298"/>
    <s v="Diamond"/>
  </r>
  <r>
    <x v="5"/>
    <s v="necklace"/>
    <n v="110"/>
    <x v="13"/>
    <x v="11"/>
    <x v="0"/>
    <n v="0.08"/>
    <d v="2025-03-31T00:00:00"/>
    <n v="-298"/>
    <s v="Diamon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1211A7-0193-4C36-99B6-A55ED74A5DA9}"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9" firstHeaderRow="1" firstDataRow="4" firstDataCol="1"/>
  <pivotFields count="5">
    <pivotField axis="axisCol" allDrilled="1" subtotalTop="0" showAll="0" dataSourceSort="1" defaultSubtotal="0" defaultAttributeDrillState="1">
      <items count="7">
        <item x="0"/>
        <item x="1"/>
        <item x="2"/>
        <item x="3"/>
        <item x="4"/>
        <item x="5"/>
        <item x="6"/>
      </items>
    </pivotField>
    <pivotField axis="axisCol"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2">
        <item x="0"/>
        <item x="1"/>
      </items>
    </pivotField>
    <pivotField dataField="1" subtotalTop="0" showAll="0" defaultSubtotal="0"/>
  </pivotFields>
  <rowFields count="1">
    <field x="3"/>
  </rowFields>
  <rowItems count="3">
    <i>
      <x/>
    </i>
    <i>
      <x v="1"/>
    </i>
    <i t="grand">
      <x/>
    </i>
  </rowItems>
  <colFields count="3">
    <field x="2"/>
    <field x="1"/>
    <field x="0"/>
  </colFields>
  <colItems count="8">
    <i>
      <x/>
      <x/>
      <x/>
    </i>
    <i>
      <x v="1"/>
      <x v="1"/>
      <x v="1"/>
    </i>
    <i>
      <x v="2"/>
      <x v="2"/>
      <x v="2"/>
    </i>
    <i>
      <x v="3"/>
      <x v="3"/>
      <x v="3"/>
    </i>
    <i>
      <x v="4"/>
      <x v="2"/>
      <x v="4"/>
    </i>
    <i>
      <x v="5"/>
      <x v="4"/>
      <x v="5"/>
    </i>
    <i>
      <x v="6"/>
      <x v="4"/>
      <x v="6"/>
    </i>
    <i t="grand">
      <x/>
    </i>
  </colItems>
  <dataFields count="1">
    <dataField name="Sum of Total sales" fld="4" baseField="0" baseItem="0"/>
  </dataFields>
  <formats count="1">
    <format dxfId="31">
      <pivotArea dataOnly="0" labelOnly="1" fieldPosition="0">
        <references count="1">
          <reference field="2" count="0"/>
        </references>
      </pivotArea>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3">
    <colHierarchyUsage hierarchyUsage="17"/>
    <colHierarchyUsage hierarchyUsage="18"/>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J$5:$N$1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9BFEA8-EEB0-4965-A89D-5248C5769BA1}"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2" firstHeaderRow="1" firstDataRow="1" firstDataCol="1" rowPageCount="1" colPageCount="1"/>
  <pivotFields count="12">
    <pivotField axis="axisPage" showAll="0">
      <items count="8">
        <item sd="0" x="0"/>
        <item sd="0" x="6"/>
        <item sd="0" x="3"/>
        <item sd="0" x="2"/>
        <item sd="0" x="5"/>
        <item sd="0" x="4"/>
        <item sd="0" x="1"/>
        <item t="default"/>
      </items>
    </pivotField>
    <pivotField showAll="0"/>
    <pivotField numFmtId="164" showAll="0"/>
    <pivotField axis="axisRow" numFmtId="14" showAll="0">
      <items count="15">
        <item x="0"/>
        <item x="1"/>
        <item x="2"/>
        <item x="3"/>
        <item x="4"/>
        <item x="5"/>
        <item x="6"/>
        <item x="7"/>
        <item x="8"/>
        <item x="9"/>
        <item x="10"/>
        <item x="11"/>
        <item x="12"/>
        <item x="13"/>
        <item t="default"/>
      </items>
    </pivotField>
    <pivotField dataField="1" numFmtId="164" showAll="0"/>
    <pivotField axis="axisRow" showAll="0">
      <items count="7">
        <item x="1"/>
        <item x="3"/>
        <item x="4"/>
        <item x="5"/>
        <item x="0"/>
        <item x="2"/>
        <item t="default"/>
      </items>
    </pivotField>
    <pivotField numFmtId="9" showAll="0"/>
    <pivotField numFmtId="14" showAll="0"/>
    <pivotField numFmtId="2" showAll="0"/>
    <pivotField showAll="0"/>
    <pivotField dragToRow="0" dragToCol="0" dragToPage="0" showAll="0" defaultSubtotal="0"/>
    <pivotField showAll="0">
      <items count="3">
        <item x="0"/>
        <item x="1"/>
        <item t="default"/>
      </items>
    </pivotField>
  </pivotFields>
  <rowFields count="2">
    <field x="3"/>
    <field x="5"/>
  </rowFields>
  <rowItems count="29">
    <i>
      <x/>
    </i>
    <i r="1">
      <x v="4"/>
    </i>
    <i>
      <x v="1"/>
    </i>
    <i r="1">
      <x/>
    </i>
    <i>
      <x v="2"/>
    </i>
    <i r="1">
      <x v="5"/>
    </i>
    <i>
      <x v="3"/>
    </i>
    <i r="1">
      <x v="1"/>
    </i>
    <i>
      <x v="4"/>
    </i>
    <i r="1">
      <x v="4"/>
    </i>
    <i>
      <x v="5"/>
    </i>
    <i r="1">
      <x v="2"/>
    </i>
    <i>
      <x v="6"/>
    </i>
    <i r="1">
      <x v="4"/>
    </i>
    <i>
      <x v="7"/>
    </i>
    <i r="1">
      <x v="5"/>
    </i>
    <i>
      <x v="8"/>
    </i>
    <i r="1">
      <x/>
    </i>
    <i>
      <x v="9"/>
    </i>
    <i r="1">
      <x v="5"/>
    </i>
    <i>
      <x v="10"/>
    </i>
    <i r="1">
      <x v="3"/>
    </i>
    <i>
      <x v="11"/>
    </i>
    <i r="1">
      <x v="1"/>
    </i>
    <i>
      <x v="12"/>
    </i>
    <i r="1">
      <x v="5"/>
    </i>
    <i>
      <x v="13"/>
    </i>
    <i r="1">
      <x v="4"/>
    </i>
    <i t="grand">
      <x/>
    </i>
  </rowItems>
  <colItems count="1">
    <i/>
  </colItems>
  <pageFields count="1">
    <pageField fld="0" hier="-1"/>
  </pageFields>
  <dataFields count="1">
    <dataField name="Sum of Net profit"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9BFEA8-EEB0-4965-A89D-5248C5769BA1}"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 firstHeaderRow="1" firstDataRow="1" firstDataCol="1" rowPageCount="1" colPageCount="1"/>
  <pivotFields count="12">
    <pivotField axis="axisPage" showAll="0">
      <items count="8">
        <item sd="0" x="0"/>
        <item sd="0" x="6"/>
        <item sd="0" x="3"/>
        <item sd="0" x="2"/>
        <item sd="0" x="5"/>
        <item sd="0" x="4"/>
        <item sd="0" x="1"/>
        <item t="default"/>
      </items>
    </pivotField>
    <pivotField showAll="0"/>
    <pivotField numFmtId="164" showAll="0"/>
    <pivotField axis="axisRow" numFmtId="14" showAll="0">
      <items count="15">
        <item x="0"/>
        <item x="1"/>
        <item x="2"/>
        <item x="3"/>
        <item x="4"/>
        <item x="5"/>
        <item x="6"/>
        <item x="7"/>
        <item x="8"/>
        <item x="9"/>
        <item x="10"/>
        <item x="11"/>
        <item x="12"/>
        <item x="13"/>
        <item t="default"/>
      </items>
    </pivotField>
    <pivotField dataField="1" numFmtId="164" showAll="0"/>
    <pivotField showAll="0"/>
    <pivotField numFmtId="9" showAll="0"/>
    <pivotField numFmtId="14" showAll="0"/>
    <pivotField numFmtId="2" showAll="0"/>
    <pivotField showAll="0"/>
    <pivotField dragToRow="0" dragToCol="0" dragToPage="0" showAll="0" defaultSubtotal="0"/>
    <pivotField showAll="0">
      <items count="3">
        <item x="0"/>
        <item x="1"/>
        <item t="default"/>
      </items>
    </pivotField>
  </pivotFields>
  <rowFields count="1">
    <field x="3"/>
  </rowFields>
  <rowItems count="15">
    <i>
      <x/>
    </i>
    <i>
      <x v="1"/>
    </i>
    <i>
      <x v="2"/>
    </i>
    <i>
      <x v="3"/>
    </i>
    <i>
      <x v="4"/>
    </i>
    <i>
      <x v="5"/>
    </i>
    <i>
      <x v="6"/>
    </i>
    <i>
      <x v="7"/>
    </i>
    <i>
      <x v="8"/>
    </i>
    <i>
      <x v="9"/>
    </i>
    <i>
      <x v="10"/>
    </i>
    <i>
      <x v="11"/>
    </i>
    <i>
      <x v="12"/>
    </i>
    <i>
      <x v="13"/>
    </i>
    <i t="grand">
      <x/>
    </i>
  </rowItems>
  <colItems count="1">
    <i/>
  </colItems>
  <pageFields count="1">
    <pageField fld="0" hier="-1"/>
  </pageFields>
  <dataFields count="1">
    <dataField name="Sum of Net profit"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9BFEA8-EEB0-4965-A89D-5248C5769BA1}"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 firstHeaderRow="1" firstDataRow="1" firstDataCol="1" rowPageCount="1" colPageCount="1"/>
  <pivotFields count="12">
    <pivotField axis="axisPage" showAll="0">
      <items count="8">
        <item sd="0" x="0"/>
        <item sd="0" x="6"/>
        <item sd="0" x="3"/>
        <item sd="0" x="2"/>
        <item sd="0" x="5"/>
        <item sd="0" x="4"/>
        <item sd="0" x="1"/>
        <item t="default"/>
      </items>
    </pivotField>
    <pivotField showAll="0"/>
    <pivotField numFmtId="164" showAll="0"/>
    <pivotField axis="axisRow" numFmtId="14" showAll="0">
      <items count="15">
        <item x="0"/>
        <item x="1"/>
        <item x="2"/>
        <item x="3"/>
        <item x="4"/>
        <item x="5"/>
        <item x="6"/>
        <item x="7"/>
        <item x="8"/>
        <item x="9"/>
        <item x="10"/>
        <item x="11"/>
        <item x="12"/>
        <item x="13"/>
        <item t="default"/>
      </items>
    </pivotField>
    <pivotField dataField="1" numFmtId="164" showAll="0"/>
    <pivotField showAll="0"/>
    <pivotField numFmtId="9" showAll="0"/>
    <pivotField numFmtId="14" showAll="0"/>
    <pivotField numFmtId="2" showAll="0"/>
    <pivotField showAll="0"/>
    <pivotField dragToRow="0" dragToCol="0" dragToPage="0" showAll="0" defaultSubtotal="0"/>
    <pivotField showAll="0">
      <items count="3">
        <item x="0"/>
        <item x="1"/>
        <item t="default"/>
      </items>
    </pivotField>
  </pivotFields>
  <rowFields count="1">
    <field x="3"/>
  </rowFields>
  <rowItems count="15">
    <i>
      <x/>
    </i>
    <i>
      <x v="1"/>
    </i>
    <i>
      <x v="2"/>
    </i>
    <i>
      <x v="3"/>
    </i>
    <i>
      <x v="4"/>
    </i>
    <i>
      <x v="5"/>
    </i>
    <i>
      <x v="6"/>
    </i>
    <i>
      <x v="7"/>
    </i>
    <i>
      <x v="8"/>
    </i>
    <i>
      <x v="9"/>
    </i>
    <i>
      <x v="10"/>
    </i>
    <i>
      <x v="11"/>
    </i>
    <i>
      <x v="12"/>
    </i>
    <i>
      <x v="13"/>
    </i>
    <i t="grand">
      <x/>
    </i>
  </rowItems>
  <colItems count="1">
    <i/>
  </colItems>
  <pageFields count="1">
    <pageField fld="0" hier="-1"/>
  </pageFields>
  <dataFields count="1">
    <dataField name="Sum of Net profit"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9BFEA8-EEB0-4965-A89D-5248C5769BA1}"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 firstHeaderRow="1" firstDataRow="1" firstDataCol="1" rowPageCount="1" colPageCount="1"/>
  <pivotFields count="12">
    <pivotField axis="axisPage" showAll="0">
      <items count="8">
        <item sd="0" x="0"/>
        <item sd="0" x="6"/>
        <item sd="0" x="3"/>
        <item sd="0" x="2"/>
        <item sd="0" x="5"/>
        <item sd="0" x="4"/>
        <item sd="0" x="1"/>
        <item t="default"/>
      </items>
    </pivotField>
    <pivotField showAll="0"/>
    <pivotField numFmtId="164" showAll="0"/>
    <pivotField axis="axisRow" numFmtId="14" showAll="0">
      <items count="15">
        <item x="0"/>
        <item x="1"/>
        <item x="2"/>
        <item x="3"/>
        <item x="4"/>
        <item x="5"/>
        <item x="6"/>
        <item x="7"/>
        <item x="8"/>
        <item x="9"/>
        <item x="10"/>
        <item x="11"/>
        <item x="12"/>
        <item x="13"/>
        <item t="default"/>
      </items>
    </pivotField>
    <pivotField dataField="1" numFmtId="164" showAll="0"/>
    <pivotField showAll="0"/>
    <pivotField numFmtId="9" showAll="0"/>
    <pivotField numFmtId="14" showAll="0"/>
    <pivotField numFmtId="2" showAll="0"/>
    <pivotField showAll="0"/>
    <pivotField dragToRow="0" dragToCol="0" dragToPage="0" showAll="0" defaultSubtotal="0"/>
    <pivotField showAll="0">
      <items count="3">
        <item x="0"/>
        <item x="1"/>
        <item t="default"/>
      </items>
    </pivotField>
  </pivotFields>
  <rowFields count="1">
    <field x="3"/>
  </rowFields>
  <rowItems count="15">
    <i>
      <x/>
    </i>
    <i>
      <x v="1"/>
    </i>
    <i>
      <x v="2"/>
    </i>
    <i>
      <x v="3"/>
    </i>
    <i>
      <x v="4"/>
    </i>
    <i>
      <x v="5"/>
    </i>
    <i>
      <x v="6"/>
    </i>
    <i>
      <x v="7"/>
    </i>
    <i>
      <x v="8"/>
    </i>
    <i>
      <x v="9"/>
    </i>
    <i>
      <x v="10"/>
    </i>
    <i>
      <x v="11"/>
    </i>
    <i>
      <x v="12"/>
    </i>
    <i>
      <x v="13"/>
    </i>
    <i t="grand">
      <x/>
    </i>
  </rowItems>
  <colItems count="1">
    <i/>
  </colItems>
  <pageFields count="1">
    <pageField fld="0" hier="-1"/>
  </pageFields>
  <dataFields count="1">
    <dataField name="Sum of Net profit"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9BFEA8-EEB0-4965-A89D-5248C5769BA1}"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 firstHeaderRow="1" firstDataRow="1" firstDataCol="1" rowPageCount="1" colPageCount="1"/>
  <pivotFields count="12">
    <pivotField axis="axisPage" showAll="0">
      <items count="8">
        <item sd="0" x="0"/>
        <item sd="0" x="6"/>
        <item sd="0" x="3"/>
        <item sd="0" x="2"/>
        <item sd="0" x="5"/>
        <item sd="0" x="4"/>
        <item sd="0" x="1"/>
        <item t="default"/>
      </items>
    </pivotField>
    <pivotField showAll="0"/>
    <pivotField numFmtId="164" showAll="0"/>
    <pivotField axis="axisRow" numFmtId="14" showAll="0">
      <items count="15">
        <item x="0"/>
        <item x="1"/>
        <item x="2"/>
        <item x="3"/>
        <item x="4"/>
        <item x="5"/>
        <item x="6"/>
        <item x="7"/>
        <item x="8"/>
        <item x="9"/>
        <item x="10"/>
        <item x="11"/>
        <item x="12"/>
        <item x="13"/>
        <item t="default"/>
      </items>
    </pivotField>
    <pivotField dataField="1" numFmtId="164" showAll="0"/>
    <pivotField showAll="0"/>
    <pivotField numFmtId="9" showAll="0"/>
    <pivotField numFmtId="14" showAll="0"/>
    <pivotField numFmtId="2" showAll="0"/>
    <pivotField showAll="0"/>
    <pivotField dragToRow="0" dragToCol="0" dragToPage="0" showAll="0" defaultSubtotal="0"/>
    <pivotField showAll="0">
      <items count="3">
        <item x="0"/>
        <item x="1"/>
        <item t="default"/>
      </items>
    </pivotField>
  </pivotFields>
  <rowFields count="1">
    <field x="3"/>
  </rowFields>
  <rowItems count="15">
    <i>
      <x/>
    </i>
    <i>
      <x v="1"/>
    </i>
    <i>
      <x v="2"/>
    </i>
    <i>
      <x v="3"/>
    </i>
    <i>
      <x v="4"/>
    </i>
    <i>
      <x v="5"/>
    </i>
    <i>
      <x v="6"/>
    </i>
    <i>
      <x v="7"/>
    </i>
    <i>
      <x v="8"/>
    </i>
    <i>
      <x v="9"/>
    </i>
    <i>
      <x v="10"/>
    </i>
    <i>
      <x v="11"/>
    </i>
    <i>
      <x v="12"/>
    </i>
    <i>
      <x v="13"/>
    </i>
    <i t="grand">
      <x/>
    </i>
  </rowItems>
  <colItems count="1">
    <i/>
  </colItems>
  <pageFields count="1">
    <pageField fld="0" hier="-1"/>
  </pageFields>
  <dataFields count="1">
    <dataField name="Sum of Net profit"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9BFEA8-EEB0-4965-A89D-5248C5769BA1}"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 firstHeaderRow="1" firstDataRow="1" firstDataCol="1" rowPageCount="1" colPageCount="1"/>
  <pivotFields count="12">
    <pivotField axis="axisPage" showAll="0">
      <items count="8">
        <item sd="0" x="0"/>
        <item sd="0" x="6"/>
        <item sd="0" x="3"/>
        <item sd="0" x="2"/>
        <item sd="0" x="5"/>
        <item sd="0" x="4"/>
        <item sd="0" x="1"/>
        <item t="default"/>
      </items>
    </pivotField>
    <pivotField showAll="0"/>
    <pivotField numFmtId="164" showAll="0"/>
    <pivotField axis="axisRow" numFmtId="14" showAll="0">
      <items count="15">
        <item x="0"/>
        <item x="1"/>
        <item x="2"/>
        <item x="3"/>
        <item x="4"/>
        <item x="5"/>
        <item x="6"/>
        <item x="7"/>
        <item x="8"/>
        <item x="9"/>
        <item x="10"/>
        <item x="11"/>
        <item x="12"/>
        <item x="13"/>
        <item t="default"/>
      </items>
    </pivotField>
    <pivotField dataField="1" numFmtId="164" showAll="0"/>
    <pivotField showAll="0"/>
    <pivotField numFmtId="9" showAll="0"/>
    <pivotField numFmtId="14" showAll="0"/>
    <pivotField numFmtId="2" showAll="0"/>
    <pivotField showAll="0"/>
    <pivotField dragToRow="0" dragToCol="0" dragToPage="0" showAll="0" defaultSubtotal="0"/>
    <pivotField showAll="0">
      <items count="3">
        <item x="0"/>
        <item x="1"/>
        <item t="default"/>
      </items>
    </pivotField>
  </pivotFields>
  <rowFields count="1">
    <field x="3"/>
  </rowFields>
  <rowItems count="15">
    <i>
      <x/>
    </i>
    <i>
      <x v="1"/>
    </i>
    <i>
      <x v="2"/>
    </i>
    <i>
      <x v="3"/>
    </i>
    <i>
      <x v="4"/>
    </i>
    <i>
      <x v="5"/>
    </i>
    <i>
      <x v="6"/>
    </i>
    <i>
      <x v="7"/>
    </i>
    <i>
      <x v="8"/>
    </i>
    <i>
      <x v="9"/>
    </i>
    <i>
      <x v="10"/>
    </i>
    <i>
      <x v="11"/>
    </i>
    <i>
      <x v="12"/>
    </i>
    <i>
      <x v="13"/>
    </i>
    <i t="grand">
      <x/>
    </i>
  </rowItems>
  <colItems count="1">
    <i/>
  </colItems>
  <pageFields count="1">
    <pageField fld="0" hier="-1"/>
  </pageFields>
  <dataFields count="1">
    <dataField name="Sum of Net profit"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9BFEA8-EEB0-4965-A89D-5248C5769BA1}"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 firstHeaderRow="1" firstDataRow="1" firstDataCol="1" rowPageCount="1" colPageCount="1"/>
  <pivotFields count="12">
    <pivotField axis="axisPage" showAll="0">
      <items count="8">
        <item sd="0" x="0"/>
        <item sd="0" x="6"/>
        <item sd="0" x="3"/>
        <item sd="0" x="2"/>
        <item sd="0" x="5"/>
        <item sd="0" x="4"/>
        <item sd="0" x="1"/>
        <item t="default"/>
      </items>
    </pivotField>
    <pivotField showAll="0"/>
    <pivotField numFmtId="164" showAll="0"/>
    <pivotField axis="axisRow" numFmtId="14" showAll="0">
      <items count="15">
        <item x="0"/>
        <item x="1"/>
        <item x="2"/>
        <item x="3"/>
        <item x="4"/>
        <item x="5"/>
        <item x="6"/>
        <item x="7"/>
        <item x="8"/>
        <item x="9"/>
        <item x="10"/>
        <item x="11"/>
        <item x="12"/>
        <item x="13"/>
        <item t="default"/>
      </items>
    </pivotField>
    <pivotField dataField="1" numFmtId="164" showAll="0"/>
    <pivotField showAll="0"/>
    <pivotField numFmtId="9" showAll="0"/>
    <pivotField numFmtId="14" showAll="0"/>
    <pivotField numFmtId="2" showAll="0"/>
    <pivotField showAll="0"/>
    <pivotField dragToRow="0" dragToCol="0" dragToPage="0" showAll="0" defaultSubtotal="0"/>
    <pivotField showAll="0">
      <items count="3">
        <item x="0"/>
        <item x="1"/>
        <item t="default"/>
      </items>
    </pivotField>
  </pivotFields>
  <rowFields count="1">
    <field x="3"/>
  </rowFields>
  <rowItems count="15">
    <i>
      <x/>
    </i>
    <i>
      <x v="1"/>
    </i>
    <i>
      <x v="2"/>
    </i>
    <i>
      <x v="3"/>
    </i>
    <i>
      <x v="4"/>
    </i>
    <i>
      <x v="5"/>
    </i>
    <i>
      <x v="6"/>
    </i>
    <i>
      <x v="7"/>
    </i>
    <i>
      <x v="8"/>
    </i>
    <i>
      <x v="9"/>
    </i>
    <i>
      <x v="10"/>
    </i>
    <i>
      <x v="11"/>
    </i>
    <i>
      <x v="12"/>
    </i>
    <i>
      <x v="13"/>
    </i>
    <i t="grand">
      <x/>
    </i>
  </rowItems>
  <colItems count="1">
    <i/>
  </colItems>
  <pageFields count="1">
    <pageField fld="0" hier="-1"/>
  </pageFields>
  <dataFields count="1">
    <dataField name="Sum of Net profit"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9BFEA8-EEB0-4965-A89D-5248C5769BA1}" name="PivotTable1" cacheId="13" dataOnRows="1" dataPosition="0" applyNumberFormats="0" applyBorderFormats="0" applyFontFormats="0" applyPatternFormats="0" applyAlignmentFormats="0" applyWidthHeightFormats="1" dataCaption="Values" updatedVersion="8" minRefreshableVersion="5" rowGrandTotals="0" itemPrintTitles="1" createdVersion="8" indent="0" outline="1" outlineData="1" multipleFieldFilters="0">
  <location ref="A4:D50" firstHeaderRow="1" firstDataRow="2" firstDataCol="1" rowPageCount="1" colPageCount="1"/>
  <pivotFields count="12">
    <pivotField axis="axisPage" multipleItemSelectionAllowed="1" showAll="0">
      <items count="8">
        <item sd="0" x="0"/>
        <item sd="0" x="6"/>
        <item sd="0" x="3"/>
        <item sd="0" x="2"/>
        <item sd="0" x="5"/>
        <item sd="0" x="4"/>
        <item sd="0" x="1"/>
        <item t="default"/>
      </items>
    </pivotField>
    <pivotField showAll="0"/>
    <pivotField numFmtId="164" showAll="0"/>
    <pivotField axis="axisRow" numFmtId="14" showAll="0">
      <items count="15">
        <item sd="0" x="0"/>
        <item sd="0" x="1"/>
        <item sd="0" x="2"/>
        <item sd="0" x="3"/>
        <item sd="0" x="4"/>
        <item sd="0" x="5"/>
        <item sd="0" x="6"/>
        <item sd="0" x="7"/>
        <item sd="0" x="8"/>
        <item sd="0" x="9"/>
        <item sd="0" x="10"/>
        <item sd="0" x="11"/>
        <item sd="0" x="12"/>
        <item sd="0" x="13"/>
        <item t="default" sd="0"/>
      </items>
    </pivotField>
    <pivotField dataField="1" numFmtId="164" showAll="0">
      <items count="13">
        <item x="6"/>
        <item x="9"/>
        <item x="2"/>
        <item x="5"/>
        <item x="1"/>
        <item x="4"/>
        <item x="7"/>
        <item x="10"/>
        <item x="0"/>
        <item x="11"/>
        <item x="8"/>
        <item x="3"/>
        <item t="default"/>
      </items>
    </pivotField>
    <pivotField showAll="0"/>
    <pivotField numFmtId="9" showAll="0"/>
    <pivotField numFmtId="14" showAll="0"/>
    <pivotField numFmtId="2" showAll="0"/>
    <pivotField showAll="0"/>
    <pivotField dataField="1" dragToRow="0" dragToCol="0" dragToPage="0" showAll="0" defaultSubtotal="0"/>
    <pivotField axis="axisCol" showAll="0">
      <items count="3">
        <item n="High customer" sd="0" x="0"/>
        <item n="Low customer" sd="0" x="1"/>
        <item t="default"/>
      </items>
    </pivotField>
  </pivotFields>
  <rowFields count="2">
    <field x="-2"/>
    <field x="3"/>
  </rowFields>
  <rowItems count="45">
    <i>
      <x/>
    </i>
    <i r="1">
      <x/>
    </i>
    <i r="1">
      <x v="1"/>
    </i>
    <i r="1">
      <x v="2"/>
    </i>
    <i r="1">
      <x v="3"/>
    </i>
    <i r="1">
      <x v="4"/>
    </i>
    <i r="1">
      <x v="5"/>
    </i>
    <i r="1">
      <x v="6"/>
    </i>
    <i r="1">
      <x v="7"/>
    </i>
    <i r="1">
      <x v="8"/>
    </i>
    <i r="1">
      <x v="9"/>
    </i>
    <i r="1">
      <x v="10"/>
    </i>
    <i r="1">
      <x v="11"/>
    </i>
    <i r="1">
      <x v="12"/>
    </i>
    <i r="1">
      <x v="13"/>
    </i>
    <i i="1">
      <x v="1"/>
    </i>
    <i r="1" i="1">
      <x/>
    </i>
    <i r="1" i="1">
      <x v="1"/>
    </i>
    <i r="1" i="1">
      <x v="2"/>
    </i>
    <i r="1" i="1">
      <x v="3"/>
    </i>
    <i r="1" i="1">
      <x v="4"/>
    </i>
    <i r="1" i="1">
      <x v="5"/>
    </i>
    <i r="1" i="1">
      <x v="6"/>
    </i>
    <i r="1" i="1">
      <x v="7"/>
    </i>
    <i r="1" i="1">
      <x v="8"/>
    </i>
    <i r="1" i="1">
      <x v="9"/>
    </i>
    <i r="1" i="1">
      <x v="10"/>
    </i>
    <i r="1" i="1">
      <x v="11"/>
    </i>
    <i r="1" i="1">
      <x v="12"/>
    </i>
    <i r="1" i="1">
      <x v="13"/>
    </i>
    <i i="2">
      <x v="2"/>
    </i>
    <i r="1" i="2">
      <x/>
    </i>
    <i r="1" i="2">
      <x v="1"/>
    </i>
    <i r="1" i="2">
      <x v="2"/>
    </i>
    <i r="1" i="2">
      <x v="3"/>
    </i>
    <i r="1" i="2">
      <x v="4"/>
    </i>
    <i r="1" i="2">
      <x v="5"/>
    </i>
    <i r="1" i="2">
      <x v="6"/>
    </i>
    <i r="1" i="2">
      <x v="7"/>
    </i>
    <i r="1" i="2">
      <x v="8"/>
    </i>
    <i r="1" i="2">
      <x v="9"/>
    </i>
    <i r="1" i="2">
      <x v="10"/>
    </i>
    <i r="1" i="2">
      <x v="11"/>
    </i>
    <i r="1" i="2">
      <x v="12"/>
    </i>
    <i r="1" i="2">
      <x v="13"/>
    </i>
  </rowItems>
  <colFields count="1">
    <field x="11"/>
  </colFields>
  <colItems count="3">
    <i>
      <x/>
    </i>
    <i>
      <x v="1"/>
    </i>
    <i t="grand">
      <x/>
    </i>
  </colItems>
  <pageFields count="1">
    <pageField fld="0" hier="-1"/>
  </pageFields>
  <dataFields count="3">
    <dataField name="Sum of HandMade" fld="10" baseField="0" baseItem="0" numFmtId="164"/>
    <dataField name="Sum of Net profit2" fld="4" baseField="0" baseItem="0" numFmtId="164"/>
    <dataField name="Sum of Net profit"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2474E8-E864-4FA3-A175-74658090E0FF}" name="salesofcustomers"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B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Net profit" fld="1" baseField="0" baseItem="0"/>
  </dataField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8">
    <pivotHierarchy multipleItemSelectionAllowed="1" dragToData="1"/>
    <pivotHierarchy dragToData="1"/>
    <pivotHierarchy dragToData="1"/>
    <pivotHierarchy dragToData="1"/>
    <pivotHierarchy dragToData="1"/>
    <pivotHierarchy multipleItemSelectionAllowed="1" dragToData="1">
      <members count="1" level="1">
        <member name="[MainTable].[City].&amp;[istanb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nia-excel 1.xlsx!MainTable">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70E1DF-DCFC-47A1-9857-68ED00697391}" name="salesbycustomerstypes"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2:B5"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Net profit"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8">
    <pivotHierarchy multipleItemSelectionAllowed="1" dragToData="1"/>
    <pivotHierarchy dragToData="1"/>
    <pivotHierarchy dragToData="1"/>
    <pivotHierarchy dragToData="1"/>
    <pivotHierarchy dragToData="1"/>
    <pivotHierarchy multipleItemSelectionAllowed="1" dragToData="1">
      <members count="1" level="1">
        <member name="[MainTable].[City].&amp;[istanb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activeTabTopLevelEntity name="[Small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F66B6CA-23CF-41C6-8397-E9478FB4D202}" name="smalltabl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L19" firstHeaderRow="1" firstDataRow="1" firstDataCol="0"/>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nia-excel 1.xlsx!SmallTable">
        <x15:activeTabTopLevelEntity name="[Small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DE30769-D9FE-4EBF-B8C4-57D09D59F8ED}" name="salesbycity"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2:B6"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s="1" x="0"/>
        <item x="1"/>
        <item x="2"/>
      </items>
    </pivotField>
  </pivotFields>
  <rowFields count="2">
    <field x="2"/>
    <field x="1"/>
  </rowFields>
  <rowItems count="4">
    <i>
      <x/>
    </i>
    <i r="1">
      <x/>
    </i>
    <i r="1">
      <x v="1"/>
    </i>
    <i t="grand">
      <x/>
    </i>
  </rowItems>
  <colItems count="1">
    <i/>
  </colItems>
  <dataFields count="1">
    <dataField name="Sum of Net profit" fld="0" baseField="0" baseItem="0"/>
  </dataFields>
  <chartFormats count="10">
    <chartFormat chart="2"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6" format="15">
      <pivotArea type="data" outline="0" fieldPosition="0">
        <references count="3">
          <reference field="4294967294" count="1" selected="0">
            <x v="0"/>
          </reference>
          <reference field="1" count="1" selected="0">
            <x v="2"/>
          </reference>
          <reference field="2" count="1" selected="0">
            <x v="1"/>
          </reference>
        </references>
      </pivotArea>
    </chartFormat>
    <chartFormat chart="6" format="16">
      <pivotArea type="data" outline="0" fieldPosition="0">
        <references count="3">
          <reference field="4294967294" count="1" selected="0">
            <x v="0"/>
          </reference>
          <reference field="1" count="1" selected="0">
            <x v="2"/>
          </reference>
          <reference field="2" count="1" selected="0">
            <x v="2"/>
          </reference>
        </references>
      </pivotArea>
    </chartFormat>
    <chartFormat chart="6" format="17">
      <pivotArea type="data" outline="0" fieldPosition="0">
        <references count="3">
          <reference field="4294967294" count="1" selected="0">
            <x v="0"/>
          </reference>
          <reference field="1" count="1" selected="0">
            <x v="0"/>
          </reference>
          <reference field="2" count="1" selected="0">
            <x v="0"/>
          </reference>
        </references>
      </pivotArea>
    </chartFormat>
    <chartFormat chart="6" format="18">
      <pivotArea type="data" outline="0" fieldPosition="0">
        <references count="3">
          <reference field="4294967294" count="1" selected="0">
            <x v="0"/>
          </reference>
          <reference field="1" count="1" selected="0">
            <x v="1"/>
          </reference>
          <reference field="2" count="1" selected="0">
            <x v="0"/>
          </reference>
        </references>
      </pivotArea>
    </chartFormat>
    <chartFormat chart="2" format="4">
      <pivotArea type="data" outline="0" fieldPosition="0">
        <references count="3">
          <reference field="4294967294" count="1" selected="0">
            <x v="0"/>
          </reference>
          <reference field="1" count="1" selected="0">
            <x v="0"/>
          </reference>
          <reference field="2" count="1" selected="0">
            <x v="0"/>
          </reference>
        </references>
      </pivotArea>
    </chartFormat>
    <chartFormat chart="2" format="5">
      <pivotArea type="data" outline="0" fieldPosition="0">
        <references count="3">
          <reference field="4294967294" count="1" selected="0">
            <x v="0"/>
          </reference>
          <reference field="1" count="1" selected="0">
            <x v="1"/>
          </reference>
          <reference field="2" count="1" selected="0">
            <x v="0"/>
          </reference>
        </references>
      </pivotArea>
    </chartFormat>
  </chartFormats>
  <pivotHierarchies count="38">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Table]"/>
        <x15:activeTabTopLevelEntity name="[Small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6E390E9-60B1-4E84-9C95-8E4653DDC1EA}" name="salesbyjewelry"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B5"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Net profit" fld="1" baseField="0" baseItem="0"/>
  </dataFields>
  <chartFormats count="6">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2" format="1">
      <pivotArea type="data" outline="0" fieldPosition="0">
        <references count="2">
          <reference field="4294967294" count="1" selected="0">
            <x v="0"/>
          </reference>
          <reference field="0" count="1" selected="0">
            <x v="1"/>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s>
  <pivotHierarchies count="38">
    <pivotHierarchy multipleItemSelectionAllowed="1" dragToData="1"/>
    <pivotHierarchy dragToData="1"/>
    <pivotHierarchy dragToData="1"/>
    <pivotHierarchy dragToData="1"/>
    <pivotHierarchy dragToData="1"/>
    <pivotHierarchy multipleItemSelectionAllowed="1" dragToData="1">
      <members count="1" level="1">
        <member name="[MainTable].[City].&amp;[istanb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nia-excel 1.xlsx!MainTable">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BC49881-51D7-4C7F-8081-780A190E85A1}" name="trendbythesales"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2:B7"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Net profit" fld="1" baseField="0" baseItem="0"/>
  </dataFields>
  <chartFormats count="3">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8">
    <pivotHierarchy multipleItemSelectionAllowed="1" dragToData="1"/>
    <pivotHierarchy dragToData="1"/>
    <pivotHierarchy dragToData="1"/>
    <pivotHierarchy dragToData="1"/>
    <pivotHierarchy dragToData="1"/>
    <pivotHierarchy multipleItemSelectionAllowed="1" dragToData="1">
      <members count="1" level="1">
        <member name="[MainTable].[City].&amp;[istanb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Between" evalOrder="-1" id="24" name="[MainTable].[Date]">
      <autoFilter ref="A1">
        <filterColumn colId="0">
          <customFilters and="1">
            <customFilter operator="greaterThanOrEqual" val="45658"/>
            <customFilter operator="lessThanOrEqual" val="45688"/>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nia-excel 1.xlsx!MainTable">
        <x15:activeTabTopLevelEntity name="[Main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B4190F6-9225-411B-95BC-24775A3D5D7D}" name="SmallTable"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6:C50" firstHeaderRow="0" firstDataRow="1" firstDataCol="1"/>
  <pivotFields count="6">
    <pivotField axis="axisRow"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1">
        <item x="0"/>
      </items>
    </pivotField>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3">
    <field x="0"/>
    <field x="2"/>
    <field x="4"/>
  </rowFields>
  <rowItems count="4">
    <i>
      <x/>
    </i>
    <i r="1">
      <x/>
    </i>
    <i r="2">
      <x/>
    </i>
    <i t="grand">
      <x/>
    </i>
  </rowItems>
  <colFields count="1">
    <field x="-2"/>
  </colFields>
  <colItems count="2">
    <i>
      <x/>
    </i>
    <i i="1">
      <x v="1"/>
    </i>
  </colItems>
  <dataFields count="2">
    <dataField name="Sum of Total sales" fld="1" baseField="0" baseItem="0"/>
    <dataField name="Sum of percentage of sales" fld="3" baseField="0" baseItem="0"/>
  </dataFields>
  <pivotHierarchies count="38">
    <pivotHierarchy multipleItemSelectionAllowed="1" dragToData="1">
      <members count="1" level="1">
        <member name="[MainTable].[Customers].&amp;[fade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0"/>
    <rowHierarchyUsage hierarchyUsage="2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mallTable]"/>
        <x15:activeTabTopLevelEntity name="[MainTable]"/>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7B4E21F-2214-47E7-83AC-74778BA3AD03}" name="MainTable"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B5" firstHeaderRow="1" firstDataRow="1" firstDataCol="1"/>
  <pivotFields count="4">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2">
    <field x="0"/>
    <field x="1"/>
  </rowFields>
  <rowItems count="4">
    <i>
      <x/>
    </i>
    <i r="1">
      <x/>
    </i>
    <i r="1">
      <x v="1"/>
    </i>
    <i t="grand">
      <x/>
    </i>
  </rowItems>
  <colItems count="1">
    <i/>
  </colItems>
  <dataFields count="1">
    <dataField name="Sum of The price" fld="2" baseField="0" baseItem="0"/>
  </dataFields>
  <pivotHierarchies count="38">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SmallTable].[Customers].&amp;[fadel]"/>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nia-excel 1.xlsx!MainTable">
        <x15:activeTabTopLevelEntity name="[MainTable]"/>
        <x15:activeTabTopLevelEntity name="[Range]"/>
        <x15:activeTabTopLevelEntity name="[Small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9E311C2-2D5E-42CE-B87C-D070E239875D}" sourceName="[Range].[City]">
  <pivotTables>
    <pivotTable tabId="3" name="PivotTable1"/>
  </pivotTables>
  <data>
    <olap pivotCacheId="75787317">
      <levels count="2">
        <level uniqueName="[Range].[City].[(All)]" sourceCaption="(All)" count="0"/>
        <level uniqueName="[Range].[City].[City]" sourceCaption="City" count="5">
          <ranges>
            <range startItem="0">
              <i n="[Range].[City].&amp;[berlin]" c="berlin"/>
              <i n="[Range].[City].&amp;[dubi]" c="dubi"/>
              <i n="[Range].[City].&amp;[egypt]" c="egypt"/>
              <i n="[Range].[City].&amp;[istanbul]" c="istanbul"/>
              <i n="[Range].[City].&amp;[london]" c="london"/>
            </range>
          </ranges>
        </level>
      </levels>
      <selections count="1">
        <selection n="[Range].[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 xr10:uid="{2F16691D-63CB-4644-A905-E63F8CAC9D3F}" sourceName="[MainTable].[Customers]">
  <pivotTables>
    <pivotTable tabId="4" name="MainTable"/>
    <pivotTable tabId="4" name="SmallTable"/>
  </pivotTables>
  <data>
    <olap pivotCacheId="1566058008">
      <levels count="2">
        <level uniqueName="[MainTable].[Customers].[(All)]" sourceCaption="(All)" count="0"/>
        <level uniqueName="[MainTable].[Customers].[Customers]" sourceCaption="Customers" count="7">
          <ranges>
            <range startItem="0">
              <i n="[MainTable].[Customers].&amp;[fadel]" c="fadel"/>
              <i n="[MainTable].[Customers].&amp;[dania]" c="dania"/>
              <i n="[MainTable].[Customers].&amp;[lama]" c="lama"/>
              <i n="[MainTable].[Customers].&amp;[lana]" c="lana"/>
              <i n="[MainTable].[Customers].&amp;[mazen]" c="mazen"/>
              <i n="[MainTable].[Customers].&amp;[mert]" c="mert"/>
              <i n="[MainTable].[Customers].&amp;[rania]" c="rania"/>
            </range>
          </ranges>
        </level>
      </levels>
      <selections count="1">
        <selection n="[MainTable].[Customers].&amp;[fade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2" xr10:uid="{D219D6A4-05BA-471D-968A-19446F3C3684}" sourceName="[SmallTable].[Customers]">
  <pivotTables>
    <pivotTable tabId="4" name="MainTable"/>
    <pivotTable tabId="4" name="SmallTable"/>
  </pivotTables>
  <data>
    <olap pivotCacheId="1566058008">
      <levels count="2">
        <level uniqueName="[SmallTable].[Customers].[(All)]" sourceCaption="(All)" count="0"/>
        <level uniqueName="[SmallTable].[Customers].[Customers]" sourceCaption="Customers" count="7">
          <ranges>
            <range startItem="0">
              <i n="[SmallTable].[Customers].&amp;[fadel]" c="fadel"/>
              <i n="[SmallTable].[Customers].&amp;[dania]" c="dania"/>
              <i n="[SmallTable].[Customers].&amp;[lama]" c="lama"/>
              <i n="[SmallTable].[Customers].&amp;[lana]" c="lana"/>
              <i n="[SmallTable].[Customers].&amp;[mazen]" c="mazen"/>
              <i n="[SmallTable].[Customers].&amp;[mert]" c="mert"/>
              <i n="[SmallTable].[Customers].&amp;[rania]" c="rania"/>
            </range>
          </ranges>
        </level>
      </levels>
      <selections count="1">
        <selection n="[SmallTable].[Customers].&amp;[fade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CD3F6877-93B3-4B75-971B-9021C0EF728D}" sourceName="[MainTable].[City]">
  <pivotTables>
    <pivotTable tabId="9" name="trendbythesales"/>
    <pivotTable tabId="7" name="salesbycity"/>
    <pivotTable tabId="6" name="salesbycustomerstypes"/>
    <pivotTable tabId="8" name="salesbyjewelry"/>
    <pivotTable tabId="5" name="salesofcustomers"/>
  </pivotTables>
  <data>
    <olap pivotCacheId="2085292823">
      <levels count="2">
        <level uniqueName="[MainTable].[City].[(All)]" sourceCaption="(All)" count="0"/>
        <level uniqueName="[MainTable].[City].[City]" sourceCaption="City" count="6">
          <ranges>
            <range startItem="0">
              <i n="[MainTable].[City].&amp;[berlin]" c="berlin"/>
              <i n="[MainTable].[City].&amp;[dubi]" c="dubi"/>
              <i n="[MainTable].[City].&amp;[egybt]" c="egybt"/>
              <i n="[MainTable].[City].&amp;[egypt]" c="egypt"/>
              <i n="[MainTable].[City].&amp;[istanbul]" c="istanbul"/>
              <i n="[MainTable].[City].&amp;[london]" c="london"/>
            </range>
          </ranges>
        </level>
      </levels>
      <selections count="1">
        <selection n="[MainTable].[City].&amp;[istanbu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1" xr10:uid="{BD31B6BB-FD72-4080-BF2B-CDE596CB08D1}" sourceName="[MainTable].[Customers]">
  <pivotTables>
    <pivotTable tabId="5" name="salesofcustomers"/>
    <pivotTable tabId="7" name="salesbycity"/>
    <pivotTable tabId="6" name="salesbycustomerstypes"/>
    <pivotTable tabId="8" name="salesbyjewelry"/>
    <pivotTable tabId="9" name="trendbythesales"/>
  </pivotTables>
  <data>
    <olap pivotCacheId="2085292823">
      <levels count="2">
        <level uniqueName="[MainTable].[Customers].[(All)]" sourceCaption="(All)" count="0"/>
        <level uniqueName="[MainTable].[Customers].[Customers]" sourceCaption="Customers" count="7">
          <ranges>
            <range startItem="0">
              <i n="[MainTable].[Customers].&amp;[dania]" c="dania"/>
              <i n="[MainTable].[Customers].&amp;[mazen]" c="mazen"/>
              <i n="[MainTable].[Customers].&amp;[fadel]" c="fadel" nd="1"/>
              <i n="[MainTable].[Customers].&amp;[lama]" c="lama" nd="1"/>
              <i n="[MainTable].[Customers].&amp;[lana]" c="lana" nd="1"/>
              <i n="[MainTable].[Customers].&amp;[mert]" c="mert" nd="1"/>
              <i n="[MainTable].[Customers].&amp;[rania]" c="rania" nd="1"/>
            </range>
          </ranges>
        </level>
      </levels>
      <selections count="1">
        <selection n="[MainTable].[Customer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79302B6-BBED-446D-B4E2-D2E67697064F}" cache="Slicer_City" caption="City"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B0C7155F-2801-4B55-9CE4-455FFC98C26C}" cache="Slicer_City1" caption="City" level="1" rowHeight="247650"/>
  <slicer name="Customers 1" xr10:uid="{761688A0-7DF8-441D-86B6-C69BF2DD461F}" cache="Slicer_Customers1" caption="Customers"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s" xr10:uid="{8F8AEB6D-5556-4469-ADD2-F8A10AFD29C6}" cache="Slicer_Customers" caption="Customers" level="1" rowHeight="247650"/>
  <slicer name="Customers 2" xr10:uid="{9ED141D9-1BA4-46BB-85FF-DB8D637C32DC}" cache="Slicer_Customers2" caption="Customers"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D8C3E6-66DB-438A-B181-523B7BCF0104}" name="Table3" displayName="Table3" ref="A3:J4" totalsRowShown="0">
  <autoFilter ref="A3:J4" xr:uid="{39D8C3E6-66DB-438A-B181-523B7BCF0104}"/>
  <tableColumns count="10">
    <tableColumn id="1" xr3:uid="{4646DF01-A224-4A26-BC76-289ED9A2CF8D}" name="Customers"/>
    <tableColumn id="2" xr3:uid="{97F55907-7801-4849-8650-E3A6EB6727DC}" name="Type of sale"/>
    <tableColumn id="3" xr3:uid="{48BB6713-B559-4D98-A6BA-BD258BBF0352}" name="The price"/>
    <tableColumn id="4" xr3:uid="{A8B206F6-B4B5-41AA-B890-9317EE20F4E4}" name="Date" dataDxfId="30"/>
    <tableColumn id="5" xr3:uid="{21BF1E46-9F39-4A33-9DE0-07BFA89B0F94}" name="Net profit"/>
    <tableColumn id="6" xr3:uid="{EB1EBD10-C3C8-4770-90E5-CFFB5FB829F1}" name="City"/>
    <tableColumn id="7" xr3:uid="{08F21246-904C-48B2-8012-96D87DD54891}" name="the tax"/>
    <tableColumn id="8" xr3:uid="{62F824E0-9E45-4B6A-90E6-D10F3DF40AB2}" name="collection date" dataDxfId="29"/>
    <tableColumn id="9" xr3:uid="{CCC97536-3160-4E99-8BE4-E20D47152675}" name="Number of days remaining"/>
    <tableColumn id="10" xr3:uid="{8DFC0529-8A81-406A-8219-D48A8F2141F6}" name="Type of the jewel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09014CE-C927-4593-8C55-5213C3157CAF}" name="Table5" displayName="Table5" ref="A3:J17" totalsRowShown="0">
  <autoFilter ref="A3:J17" xr:uid="{209014CE-C927-4593-8C55-5213C3157CAF}"/>
  <tableColumns count="10">
    <tableColumn id="1" xr3:uid="{E7F8CDB9-889B-420E-BC5B-862BCB5BFADA}" name="Customers"/>
    <tableColumn id="2" xr3:uid="{92D03AC7-6567-4A72-8003-1E5F32146E7C}" name="Type of sale"/>
    <tableColumn id="3" xr3:uid="{932B633A-02C6-4732-8E4C-6A13225D518C}" name="The price"/>
    <tableColumn id="4" xr3:uid="{DBC1B3E2-F859-49CB-907F-BE61AE9413C2}" name="Date" dataDxfId="28"/>
    <tableColumn id="5" xr3:uid="{BBDE9E95-1CEA-4E8F-A733-AF58769280A9}" name="Net profit"/>
    <tableColumn id="6" xr3:uid="{5553E280-990E-4F1E-8158-EBF2A4162F0E}" name="City"/>
    <tableColumn id="7" xr3:uid="{6758FB80-6D7B-42CE-BC60-312E4C8261E0}" name="the tax"/>
    <tableColumn id="8" xr3:uid="{94C78F0B-9772-40BD-9F1B-25FDC295CF17}" name="collection date" dataDxfId="27"/>
    <tableColumn id="9" xr3:uid="{DDD02177-B6CF-47D1-A58B-3C47C4775972}" name="Number of days remaining"/>
    <tableColumn id="10" xr3:uid="{42DAD00D-9BFA-4795-B515-AEEB95B77DD6}" name="Type of the jewelr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F3C9C9B-EA0C-4BFC-AE3F-8E8CCFFF56F0}" name="Table7" displayName="Table7" ref="A3:J8" totalsRowShown="0">
  <autoFilter ref="A3:J8" xr:uid="{0F3C9C9B-EA0C-4BFC-AE3F-8E8CCFFF56F0}"/>
  <tableColumns count="10">
    <tableColumn id="1" xr3:uid="{A091CF9D-85A1-45D5-9BC8-1408BF7A021D}" name="Customers"/>
    <tableColumn id="2" xr3:uid="{200295F5-067A-40FA-9221-75739B765021}" name="Type of sale"/>
    <tableColumn id="3" xr3:uid="{48E2586F-5D0B-4CF2-A418-4B261FE90175}" name="The price"/>
    <tableColumn id="4" xr3:uid="{246A805A-301C-43D5-A08A-F6F089A16AEB}" name="Date" dataDxfId="26"/>
    <tableColumn id="5" xr3:uid="{91125180-6DD4-404C-B6DE-1F0B7AD1FB8A}" name="Net profit"/>
    <tableColumn id="6" xr3:uid="{21973829-5851-43EE-B131-FCF0E60587A6}" name="City"/>
    <tableColumn id="7" xr3:uid="{93C02795-BD65-4E4A-ACF8-9A8D93E4951C}" name="the tax"/>
    <tableColumn id="8" xr3:uid="{EC2B0EF9-E9EC-4A60-A6B4-5F8BA7238E7A}" name="collection date" dataDxfId="25"/>
    <tableColumn id="9" xr3:uid="{73C2FBE6-2E77-4C74-ABA5-CB46E7C1E46B}" name="Number of days remaining"/>
    <tableColumn id="10" xr3:uid="{E591BC7C-CD53-49E8-AAFC-CB202EDF58FF}" name="Type of the jewelr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B33059F-241C-4CE8-BADE-BB6B9B9A6493}" name="Table8" displayName="Table8" ref="A3:J4" totalsRowShown="0">
  <autoFilter ref="A3:J4" xr:uid="{5B33059F-241C-4CE8-BADE-BB6B9B9A6493}"/>
  <tableColumns count="10">
    <tableColumn id="1" xr3:uid="{A14A667F-3339-4E88-AF3F-3FE9E97C5846}" name="Customers"/>
    <tableColumn id="2" xr3:uid="{266C4830-53C9-43B9-9AB8-D6B6B8FDF909}" name="Type of sale"/>
    <tableColumn id="3" xr3:uid="{55A44191-4B22-476E-B61E-08A58761D396}" name="The price"/>
    <tableColumn id="4" xr3:uid="{DF87E107-F023-4448-9BB9-437B231D6C7B}" name="Date" dataDxfId="24"/>
    <tableColumn id="5" xr3:uid="{461F53E4-09C3-4D8A-848E-D955D833EBB8}" name="Net profit"/>
    <tableColumn id="6" xr3:uid="{94C2D13D-E1B8-47B3-9CA9-8747381A65E9}" name="City"/>
    <tableColumn id="7" xr3:uid="{015826D9-E9EF-4403-929D-DB614F22C6A9}" name="the tax"/>
    <tableColumn id="8" xr3:uid="{9667DA51-F9F6-41F1-ABE0-077778DC508B}" name="collection date" dataDxfId="23"/>
    <tableColumn id="9" xr3:uid="{E6ED0192-C9E9-46CC-9264-8B4865D35886}" name="Number of days remaining"/>
    <tableColumn id="10" xr3:uid="{A498C5CA-E5ED-4325-8EE5-06E27E128215}" name="Type of the jewelry"/>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9FE49D-3E09-4AFB-AAF1-D1D885BA7BC5}" name="MainTable" displayName="MainTable" ref="B5:K19" totalsRowShown="0" headerRowBorderDxfId="22" tableBorderDxfId="21" totalsRowBorderDxfId="20">
  <autoFilter ref="B5:K19" xr:uid="{CF9FE49D-3E09-4AFB-AAF1-D1D885BA7BC5}"/>
  <tableColumns count="10">
    <tableColumn id="1" xr3:uid="{105050B8-5652-47D1-937B-69052AA2D9F5}" name="Customers" dataDxfId="19"/>
    <tableColumn id="2" xr3:uid="{B711D2E0-169A-4782-BB91-A5007E1827A0}" name="Type of sale" dataDxfId="18"/>
    <tableColumn id="3" xr3:uid="{BA069146-9488-464A-9325-2CC8AAA5C9A7}" name="The price" dataDxfId="17"/>
    <tableColumn id="4" xr3:uid="{5B7D2341-4248-4F1E-8F58-8BDBEF185C2C}" name="Date" dataDxfId="16"/>
    <tableColumn id="5" xr3:uid="{54EBD06E-F4F0-48AB-BC3D-0431C8535770}" name="Net profit" dataDxfId="15">
      <calculatedColumnFormula>D6-(D6*H6)</calculatedColumnFormula>
    </tableColumn>
    <tableColumn id="6" xr3:uid="{3F4C9616-1528-4295-9834-D7FFC7BEFEA3}" name="City" dataDxfId="14"/>
    <tableColumn id="7" xr3:uid="{E64F3FF7-B4AE-46D8-A196-4ED93A8868B8}" name="the tax" dataDxfId="13"/>
    <tableColumn id="9" xr3:uid="{21033642-7CAC-4CDF-AA3C-B856A55453C5}" name="collection date" dataDxfId="12">
      <calculatedColumnFormula>EOMONTH(MainTable[[#This Row],[Date]],2)</calculatedColumnFormula>
    </tableColumn>
    <tableColumn id="10" xr3:uid="{65C5BF3C-FB75-4F0E-9AE8-433390ED0D89}" name="Number of days remaining" dataDxfId="11">
      <calculatedColumnFormula>MainTable[[#This Row],[collection date]]-TODAY()</calculatedColumnFormula>
    </tableColumn>
    <tableColumn id="8" xr3:uid="{6CEDA09C-5D15-4E3E-B8D2-3AD3C416334C}" name="Type of the jewelry" dataDxfId="10"/>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7C6C5F-C656-4FAE-B871-34C74F7C2445}" name="SmallTable" displayName="SmallTable" ref="S5:W12" totalsRowShown="0" headerRowDxfId="9" headerRowBorderDxfId="8" tableBorderDxfId="7" totalsRowBorderDxfId="6">
  <tableColumns count="5">
    <tableColumn id="2" xr3:uid="{B89D0C15-8835-4EFE-A93A-8A4A78E959F5}" name="Total sales" dataDxfId="5">
      <calculatedColumnFormula>SUMIFS(F6:F19,B6:B19,T6,C6:C19,"necklace")+SUMIFS(F6:F19,B6:B19,T6,C6:C19,"ring")+SUMIFS(F6:F19,B6:B19,T6,C6:C19,"wristband")+SUMIFS(F6:F19,B6:B19,T6,C6:C19,"sunglasses")</calculatedColumnFormula>
    </tableColumn>
    <tableColumn id="1" xr3:uid="{5A7A8DF0-B89D-4686-95B3-32C6A99F951A}" name="Customers" dataDxfId="4"/>
    <tableColumn id="3" xr3:uid="{4C89DD96-6538-48A8-8718-04DD25E7C0CD}" name="Type of customer" dataDxfId="3">
      <calculatedColumnFormula>IF(S6&gt;100,"Good Customer","Normal Customer")</calculatedColumnFormula>
    </tableColumn>
    <tableColumn id="4" xr3:uid="{EA6CF742-B505-4361-95EE-04DE73F9927E}" name="percentage of sales" dataDxfId="2">
      <calculatedColumnFormula>S6/SUM(S6:S12)</calculatedColumnFormula>
    </tableColumn>
    <tableColumn id="5" xr3:uid="{A55D8443-7079-466C-AA5E-441399CE4A28}" name="City" dataDxfId="1">
      <calculatedColumnFormula>VLOOKUP(T6, database!$A$2:$B$8,2, FALSE)</calculatedColumnFormula>
    </tableColumn>
  </tableColumns>
  <tableStyleInfo name="TableStyleMedium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39BC33B-7EAC-4B55-AE87-FA55B6DBF853}" name="Table4" displayName="Table4" ref="M5:P7" totalsRowShown="0">
  <autoFilter ref="M5:P7" xr:uid="{F39BC33B-7EAC-4B55-AE87-FA55B6DBF853}"/>
  <tableColumns count="4">
    <tableColumn id="1" xr3:uid="{FD0600D1-033A-4BA6-8BAC-C69A788EAEB2}" name="Customer"/>
    <tableColumn id="2" xr3:uid="{75018F7F-3EE6-4627-A3E2-D5A254B689BF}" name="Net profit" dataDxfId="0">
      <calculatedColumnFormula>INDEX(MainTable[Net profit],MATCH($M$7,MainTable[[Customers]:[Customers]],0),MATCH(N4,MainTable[[#Headers],[Net profit]]))</calculatedColumnFormula>
    </tableColumn>
    <tableColumn id="3" xr3:uid="{6609B58B-17AB-4124-8B35-8BF232D27484}" name="Type of sale"/>
    <tableColumn id="4" xr3:uid="{CB7974E1-90D6-4641-8954-6EDAC10F8D32}" name="Type of the jewelr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45AA7FA4-C55E-40CC-9D0E-8094C27EF94E}" sourceName="[MainTable].[Date]">
  <pivotTables>
    <pivotTable tabId="9" name="trendbythesales"/>
  </pivotTables>
  <state minimalRefreshVersion="6" lastRefreshVersion="6" pivotCacheId="1252362925" filterType="dateBetween">
    <selection startDate="2025-01-01T00:00:00" endDate="2025-01-31T00:00:00"/>
    <bounds startDate="2025-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1E84A63-35AC-4F78-ABE1-F0900D4631D7}" sourceName="Date">
  <pivotTables>
    <pivotTable tabId="11" name="PivotTable1"/>
  </pivotTables>
  <state minimalRefreshVersion="6" lastRefreshVersion="6" pivotCacheId="2074167347"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9890B38B-3C73-420A-A4CC-1D1D6E27DA67}" cache="NativeTimeline_Date" caption="Date" level="2" selectionLevel="2"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20D1A9F-EDB3-4780-8B67-7E6B381A4C77}" cache="Timeline_Date" caption="Date" level="2" selectionLevel="2" scrollPosition="2025-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1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3.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4.xml"/></Relationships>
</file>

<file path=xl/worksheets/_rels/sheet20.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8.xml"/><Relationship Id="rId1" Type="http://schemas.openxmlformats.org/officeDocument/2006/relationships/pivotTable" Target="../pivotTables/pivotTable15.xm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7FE3C-F364-4DE5-861E-236C8E9BAA92}">
  <dimension ref="A3:I9"/>
  <sheetViews>
    <sheetView workbookViewId="0">
      <selection activeCell="L8" sqref="L8"/>
    </sheetView>
  </sheetViews>
  <sheetFormatPr defaultRowHeight="14.4" x14ac:dyDescent="0.3"/>
  <cols>
    <col min="1" max="1" width="15.88671875" bestFit="1" customWidth="1"/>
    <col min="2" max="2" width="15.5546875" bestFit="1" customWidth="1"/>
    <col min="3" max="3" width="7.109375" bestFit="1" customWidth="1"/>
    <col min="4" max="4" width="9.44140625" bestFit="1" customWidth="1"/>
    <col min="5" max="5" width="7.21875" bestFit="1" customWidth="1"/>
    <col min="6" max="6" width="9.44140625" bestFit="1" customWidth="1"/>
    <col min="7" max="8" width="8.33203125" bestFit="1" customWidth="1"/>
    <col min="9" max="9" width="10.5546875" bestFit="1" customWidth="1"/>
  </cols>
  <sheetData>
    <row r="3" spans="1:9" x14ac:dyDescent="0.3">
      <c r="A3" s="13" t="s">
        <v>33</v>
      </c>
      <c r="B3" s="13" t="s">
        <v>36</v>
      </c>
    </row>
    <row r="4" spans="1:9" x14ac:dyDescent="0.3">
      <c r="B4" s="11">
        <v>0.21810313906533832</v>
      </c>
      <c r="C4" s="11">
        <v>0.25615224114713581</v>
      </c>
      <c r="D4" s="11">
        <v>0.26934111594776411</v>
      </c>
      <c r="E4" s="11">
        <v>0.35719259156106398</v>
      </c>
      <c r="F4" s="11">
        <v>0.37435008665511266</v>
      </c>
      <c r="G4" s="11">
        <v>0.60598469974950919</v>
      </c>
      <c r="H4" s="11">
        <v>1</v>
      </c>
      <c r="I4" t="s">
        <v>32</v>
      </c>
    </row>
    <row r="5" spans="1:9" x14ac:dyDescent="0.3">
      <c r="B5" t="s">
        <v>18</v>
      </c>
      <c r="C5" t="s">
        <v>20</v>
      </c>
      <c r="D5" t="s">
        <v>17</v>
      </c>
      <c r="E5" t="s">
        <v>26</v>
      </c>
      <c r="F5" t="s">
        <v>17</v>
      </c>
      <c r="G5" t="s">
        <v>19</v>
      </c>
      <c r="H5" t="s">
        <v>19</v>
      </c>
    </row>
    <row r="6" spans="1:9" x14ac:dyDescent="0.3">
      <c r="A6" s="13" t="s">
        <v>31</v>
      </c>
      <c r="B6" t="s">
        <v>6</v>
      </c>
      <c r="C6" t="s">
        <v>8</v>
      </c>
      <c r="D6" t="s">
        <v>5</v>
      </c>
      <c r="E6" t="s">
        <v>9</v>
      </c>
      <c r="F6" t="s">
        <v>10</v>
      </c>
      <c r="G6" t="s">
        <v>11</v>
      </c>
      <c r="H6" t="s">
        <v>7</v>
      </c>
    </row>
    <row r="7" spans="1:9" x14ac:dyDescent="0.3">
      <c r="A7" s="14" t="s">
        <v>34</v>
      </c>
      <c r="B7">
        <v>188.5</v>
      </c>
      <c r="C7">
        <v>173.1</v>
      </c>
      <c r="E7">
        <v>179.55</v>
      </c>
      <c r="F7">
        <v>120.96000000000001</v>
      </c>
      <c r="I7">
        <v>662.11000000000013</v>
      </c>
    </row>
    <row r="8" spans="1:9" x14ac:dyDescent="0.3">
      <c r="A8" s="14" t="s">
        <v>35</v>
      </c>
      <c r="D8">
        <v>54.45</v>
      </c>
      <c r="G8">
        <v>89.51</v>
      </c>
      <c r="H8">
        <v>58.2</v>
      </c>
      <c r="I8">
        <v>202.16000000000003</v>
      </c>
    </row>
    <row r="9" spans="1:9" x14ac:dyDescent="0.3">
      <c r="A9" s="14" t="s">
        <v>32</v>
      </c>
      <c r="B9">
        <v>188.5</v>
      </c>
      <c r="C9">
        <v>173.1</v>
      </c>
      <c r="D9">
        <v>54.45</v>
      </c>
      <c r="E9">
        <v>179.55</v>
      </c>
      <c r="F9">
        <v>120.96000000000001</v>
      </c>
      <c r="G9">
        <v>89.51</v>
      </c>
      <c r="H9">
        <v>58.2</v>
      </c>
      <c r="I9">
        <v>864.27000000000021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33F4A-6498-4FC2-9C6B-030BE5FEB861}">
  <dimension ref="A1:B32"/>
  <sheetViews>
    <sheetView workbookViewId="0"/>
  </sheetViews>
  <sheetFormatPr defaultRowHeight="14.4" x14ac:dyDescent="0.3"/>
  <cols>
    <col min="1" max="1" width="12.44140625" bestFit="1" customWidth="1"/>
    <col min="2" max="2" width="15" bestFit="1" customWidth="1"/>
  </cols>
  <sheetData>
    <row r="1" spans="1:2" x14ac:dyDescent="0.3">
      <c r="A1" s="13" t="s">
        <v>0</v>
      </c>
      <c r="B1" t="s">
        <v>46</v>
      </c>
    </row>
    <row r="3" spans="1:2" x14ac:dyDescent="0.3">
      <c r="A3" s="13" t="s">
        <v>31</v>
      </c>
      <c r="B3" t="s">
        <v>42</v>
      </c>
    </row>
    <row r="4" spans="1:2" x14ac:dyDescent="0.3">
      <c r="A4" s="63">
        <v>45658</v>
      </c>
      <c r="B4" s="60">
        <v>95</v>
      </c>
    </row>
    <row r="5" spans="1:2" x14ac:dyDescent="0.3">
      <c r="A5" s="64" t="s">
        <v>17</v>
      </c>
      <c r="B5" s="60">
        <v>95</v>
      </c>
    </row>
    <row r="6" spans="1:2" x14ac:dyDescent="0.3">
      <c r="A6" s="63">
        <v>45659</v>
      </c>
      <c r="B6" s="60">
        <v>49</v>
      </c>
    </row>
    <row r="7" spans="1:2" x14ac:dyDescent="0.3">
      <c r="A7" s="64" t="s">
        <v>18</v>
      </c>
      <c r="B7" s="60">
        <v>49</v>
      </c>
    </row>
    <row r="8" spans="1:2" x14ac:dyDescent="0.3">
      <c r="A8" s="63">
        <v>45660</v>
      </c>
      <c r="B8" s="60">
        <v>39.200000000000003</v>
      </c>
    </row>
    <row r="9" spans="1:2" x14ac:dyDescent="0.3">
      <c r="A9" s="64" t="s">
        <v>19</v>
      </c>
      <c r="B9" s="60">
        <v>39.200000000000003</v>
      </c>
    </row>
    <row r="10" spans="1:2" x14ac:dyDescent="0.3">
      <c r="A10" s="63">
        <v>45661</v>
      </c>
      <c r="B10" s="60">
        <v>139.5</v>
      </c>
    </row>
    <row r="11" spans="1:2" x14ac:dyDescent="0.3">
      <c r="A11" s="64" t="s">
        <v>20</v>
      </c>
      <c r="B11" s="60">
        <v>139.5</v>
      </c>
    </row>
    <row r="12" spans="1:2" x14ac:dyDescent="0.3">
      <c r="A12" s="63">
        <v>45662</v>
      </c>
      <c r="B12" s="60">
        <v>54.45</v>
      </c>
    </row>
    <row r="13" spans="1:2" x14ac:dyDescent="0.3">
      <c r="A13" s="64" t="s">
        <v>17</v>
      </c>
      <c r="B13" s="60">
        <v>54.45</v>
      </c>
    </row>
    <row r="14" spans="1:2" x14ac:dyDescent="0.3">
      <c r="A14" s="63">
        <v>45663</v>
      </c>
      <c r="B14" s="60">
        <v>44.55</v>
      </c>
    </row>
    <row r="15" spans="1:2" x14ac:dyDescent="0.3">
      <c r="A15" s="64" t="s">
        <v>21</v>
      </c>
      <c r="B15" s="60">
        <v>44.55</v>
      </c>
    </row>
    <row r="16" spans="1:2" x14ac:dyDescent="0.3">
      <c r="A16" s="63">
        <v>45664</v>
      </c>
      <c r="B16" s="60">
        <v>19.760000000000002</v>
      </c>
    </row>
    <row r="17" spans="1:2" x14ac:dyDescent="0.3">
      <c r="A17" s="64" t="s">
        <v>17</v>
      </c>
      <c r="B17" s="60">
        <v>19.760000000000002</v>
      </c>
    </row>
    <row r="18" spans="1:2" x14ac:dyDescent="0.3">
      <c r="A18" s="63">
        <v>45665</v>
      </c>
      <c r="B18" s="60">
        <v>19.760000000000002</v>
      </c>
    </row>
    <row r="19" spans="1:2" x14ac:dyDescent="0.3">
      <c r="A19" s="64" t="s">
        <v>19</v>
      </c>
      <c r="B19" s="60">
        <v>19.760000000000002</v>
      </c>
    </row>
    <row r="20" spans="1:2" x14ac:dyDescent="0.3">
      <c r="A20" s="63">
        <v>45666</v>
      </c>
      <c r="B20" s="60">
        <v>139.5</v>
      </c>
    </row>
    <row r="21" spans="1:2" x14ac:dyDescent="0.3">
      <c r="A21" s="64" t="s">
        <v>18</v>
      </c>
      <c r="B21" s="60">
        <v>139.5</v>
      </c>
    </row>
    <row r="22" spans="1:2" x14ac:dyDescent="0.3">
      <c r="A22" s="63">
        <v>45667</v>
      </c>
      <c r="B22" s="60">
        <v>58.2</v>
      </c>
    </row>
    <row r="23" spans="1:2" x14ac:dyDescent="0.3">
      <c r="A23" s="64" t="s">
        <v>19</v>
      </c>
      <c r="B23" s="60">
        <v>58.2</v>
      </c>
    </row>
    <row r="24" spans="1:2" x14ac:dyDescent="0.3">
      <c r="A24" s="63">
        <v>45668</v>
      </c>
      <c r="B24" s="60">
        <v>135</v>
      </c>
    </row>
    <row r="25" spans="1:2" x14ac:dyDescent="0.3">
      <c r="A25" s="64" t="s">
        <v>26</v>
      </c>
      <c r="B25" s="60">
        <v>135</v>
      </c>
    </row>
    <row r="26" spans="1:2" x14ac:dyDescent="0.3">
      <c r="A26" s="63">
        <v>45669</v>
      </c>
      <c r="B26" s="60">
        <v>33.6</v>
      </c>
    </row>
    <row r="27" spans="1:2" x14ac:dyDescent="0.3">
      <c r="A27" s="64" t="s">
        <v>20</v>
      </c>
      <c r="B27" s="60">
        <v>33.6</v>
      </c>
    </row>
    <row r="28" spans="1:2" x14ac:dyDescent="0.3">
      <c r="A28" s="63">
        <v>45670</v>
      </c>
      <c r="B28" s="60">
        <v>69.75</v>
      </c>
    </row>
    <row r="29" spans="1:2" x14ac:dyDescent="0.3">
      <c r="A29" s="64" t="s">
        <v>19</v>
      </c>
      <c r="B29" s="60">
        <v>69.75</v>
      </c>
    </row>
    <row r="30" spans="1:2" x14ac:dyDescent="0.3">
      <c r="A30" s="63">
        <v>45671</v>
      </c>
      <c r="B30" s="60">
        <v>101.2</v>
      </c>
    </row>
    <row r="31" spans="1:2" x14ac:dyDescent="0.3">
      <c r="A31" s="64" t="s">
        <v>17</v>
      </c>
      <c r="B31" s="60">
        <v>101.2</v>
      </c>
    </row>
    <row r="32" spans="1:2" x14ac:dyDescent="0.3">
      <c r="A32" s="63" t="s">
        <v>32</v>
      </c>
      <c r="B32" s="60">
        <v>998.47000000000014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87694-2FCE-4586-85EB-6CFC93BE23BF}">
  <dimension ref="A1:B18"/>
  <sheetViews>
    <sheetView workbookViewId="0"/>
  </sheetViews>
  <sheetFormatPr defaultRowHeight="14.4" x14ac:dyDescent="0.3"/>
  <cols>
    <col min="1" max="1" width="12.44140625" bestFit="1" customWidth="1"/>
    <col min="2" max="2" width="15" bestFit="1" customWidth="1"/>
  </cols>
  <sheetData>
    <row r="1" spans="1:2" x14ac:dyDescent="0.3">
      <c r="A1" s="13" t="s">
        <v>0</v>
      </c>
      <c r="B1" t="s">
        <v>46</v>
      </c>
    </row>
    <row r="3" spans="1:2" x14ac:dyDescent="0.3">
      <c r="A3" s="13" t="s">
        <v>31</v>
      </c>
      <c r="B3" t="s">
        <v>42</v>
      </c>
    </row>
    <row r="4" spans="1:2" x14ac:dyDescent="0.3">
      <c r="A4" s="63">
        <v>45658</v>
      </c>
      <c r="B4" s="60">
        <v>95</v>
      </c>
    </row>
    <row r="5" spans="1:2" x14ac:dyDescent="0.3">
      <c r="A5" s="63">
        <v>45659</v>
      </c>
      <c r="B5" s="60">
        <v>49</v>
      </c>
    </row>
    <row r="6" spans="1:2" x14ac:dyDescent="0.3">
      <c r="A6" s="63">
        <v>45660</v>
      </c>
      <c r="B6" s="60">
        <v>39.200000000000003</v>
      </c>
    </row>
    <row r="7" spans="1:2" x14ac:dyDescent="0.3">
      <c r="A7" s="63">
        <v>45661</v>
      </c>
      <c r="B7" s="60">
        <v>139.5</v>
      </c>
    </row>
    <row r="8" spans="1:2" x14ac:dyDescent="0.3">
      <c r="A8" s="63">
        <v>45662</v>
      </c>
      <c r="B8" s="60">
        <v>54.45</v>
      </c>
    </row>
    <row r="9" spans="1:2" x14ac:dyDescent="0.3">
      <c r="A9" s="63">
        <v>45663</v>
      </c>
      <c r="B9" s="60">
        <v>44.55</v>
      </c>
    </row>
    <row r="10" spans="1:2" x14ac:dyDescent="0.3">
      <c r="A10" s="63">
        <v>45664</v>
      </c>
      <c r="B10" s="60">
        <v>19.760000000000002</v>
      </c>
    </row>
    <row r="11" spans="1:2" x14ac:dyDescent="0.3">
      <c r="A11" s="63">
        <v>45665</v>
      </c>
      <c r="B11" s="60">
        <v>19.760000000000002</v>
      </c>
    </row>
    <row r="12" spans="1:2" x14ac:dyDescent="0.3">
      <c r="A12" s="63">
        <v>45666</v>
      </c>
      <c r="B12" s="60">
        <v>139.5</v>
      </c>
    </row>
    <row r="13" spans="1:2" x14ac:dyDescent="0.3">
      <c r="A13" s="63">
        <v>45667</v>
      </c>
      <c r="B13" s="60">
        <v>58.2</v>
      </c>
    </row>
    <row r="14" spans="1:2" x14ac:dyDescent="0.3">
      <c r="A14" s="63">
        <v>45668</v>
      </c>
      <c r="B14" s="60">
        <v>135</v>
      </c>
    </row>
    <row r="15" spans="1:2" x14ac:dyDescent="0.3">
      <c r="A15" s="63">
        <v>45669</v>
      </c>
      <c r="B15" s="60">
        <v>33.6</v>
      </c>
    </row>
    <row r="16" spans="1:2" x14ac:dyDescent="0.3">
      <c r="A16" s="63">
        <v>45670</v>
      </c>
      <c r="B16" s="60">
        <v>69.75</v>
      </c>
    </row>
    <row r="17" spans="1:2" x14ac:dyDescent="0.3">
      <c r="A17" s="63">
        <v>45671</v>
      </c>
      <c r="B17" s="60">
        <v>101.2</v>
      </c>
    </row>
    <row r="18" spans="1:2" x14ac:dyDescent="0.3">
      <c r="A18" s="63" t="s">
        <v>32</v>
      </c>
      <c r="B18" s="60">
        <v>998.47000000000014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71AF4-8FA8-4300-B6B8-1F61D83B11DB}">
  <dimension ref="A1:B18"/>
  <sheetViews>
    <sheetView workbookViewId="0"/>
  </sheetViews>
  <sheetFormatPr defaultRowHeight="14.4" x14ac:dyDescent="0.3"/>
  <cols>
    <col min="1" max="1" width="12.44140625" bestFit="1" customWidth="1"/>
    <col min="2" max="2" width="15" bestFit="1" customWidth="1"/>
  </cols>
  <sheetData>
    <row r="1" spans="1:2" x14ac:dyDescent="0.3">
      <c r="A1" s="13" t="s">
        <v>0</v>
      </c>
      <c r="B1" t="s">
        <v>46</v>
      </c>
    </row>
    <row r="3" spans="1:2" x14ac:dyDescent="0.3">
      <c r="A3" s="13" t="s">
        <v>31</v>
      </c>
      <c r="B3" t="s">
        <v>42</v>
      </c>
    </row>
    <row r="4" spans="1:2" x14ac:dyDescent="0.3">
      <c r="A4" s="63">
        <v>45658</v>
      </c>
      <c r="B4" s="60">
        <v>95</v>
      </c>
    </row>
    <row r="5" spans="1:2" x14ac:dyDescent="0.3">
      <c r="A5" s="63">
        <v>45659</v>
      </c>
      <c r="B5" s="60">
        <v>49</v>
      </c>
    </row>
    <row r="6" spans="1:2" x14ac:dyDescent="0.3">
      <c r="A6" s="63">
        <v>45660</v>
      </c>
      <c r="B6" s="60">
        <v>39.200000000000003</v>
      </c>
    </row>
    <row r="7" spans="1:2" x14ac:dyDescent="0.3">
      <c r="A7" s="63">
        <v>45661</v>
      </c>
      <c r="B7" s="60">
        <v>139.5</v>
      </c>
    </row>
    <row r="8" spans="1:2" x14ac:dyDescent="0.3">
      <c r="A8" s="63">
        <v>45662</v>
      </c>
      <c r="B8" s="60">
        <v>54.45</v>
      </c>
    </row>
    <row r="9" spans="1:2" x14ac:dyDescent="0.3">
      <c r="A9" s="63">
        <v>45663</v>
      </c>
      <c r="B9" s="60">
        <v>44.55</v>
      </c>
    </row>
    <row r="10" spans="1:2" x14ac:dyDescent="0.3">
      <c r="A10" s="63">
        <v>45664</v>
      </c>
      <c r="B10" s="60">
        <v>19.760000000000002</v>
      </c>
    </row>
    <row r="11" spans="1:2" x14ac:dyDescent="0.3">
      <c r="A11" s="63">
        <v>45665</v>
      </c>
      <c r="B11" s="60">
        <v>19.760000000000002</v>
      </c>
    </row>
    <row r="12" spans="1:2" x14ac:dyDescent="0.3">
      <c r="A12" s="63">
        <v>45666</v>
      </c>
      <c r="B12" s="60">
        <v>139.5</v>
      </c>
    </row>
    <row r="13" spans="1:2" x14ac:dyDescent="0.3">
      <c r="A13" s="63">
        <v>45667</v>
      </c>
      <c r="B13" s="60">
        <v>58.2</v>
      </c>
    </row>
    <row r="14" spans="1:2" x14ac:dyDescent="0.3">
      <c r="A14" s="63">
        <v>45668</v>
      </c>
      <c r="B14" s="60">
        <v>135</v>
      </c>
    </row>
    <row r="15" spans="1:2" x14ac:dyDescent="0.3">
      <c r="A15" s="63">
        <v>45669</v>
      </c>
      <c r="B15" s="60">
        <v>33.6</v>
      </c>
    </row>
    <row r="16" spans="1:2" x14ac:dyDescent="0.3">
      <c r="A16" s="63">
        <v>45670</v>
      </c>
      <c r="B16" s="60">
        <v>69.75</v>
      </c>
    </row>
    <row r="17" spans="1:2" x14ac:dyDescent="0.3">
      <c r="A17" s="63">
        <v>45671</v>
      </c>
      <c r="B17" s="60">
        <v>101.2</v>
      </c>
    </row>
    <row r="18" spans="1:2" x14ac:dyDescent="0.3">
      <c r="A18" s="63" t="s">
        <v>32</v>
      </c>
      <c r="B18" s="60">
        <v>998.47000000000014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4E713-33A1-4AE0-83B4-2DF367D0140B}">
  <dimension ref="A1:B18"/>
  <sheetViews>
    <sheetView workbookViewId="0"/>
  </sheetViews>
  <sheetFormatPr defaultRowHeight="14.4" x14ac:dyDescent="0.3"/>
  <cols>
    <col min="1" max="1" width="12.44140625" bestFit="1" customWidth="1"/>
    <col min="2" max="2" width="15" bestFit="1" customWidth="1"/>
  </cols>
  <sheetData>
    <row r="1" spans="1:2" x14ac:dyDescent="0.3">
      <c r="A1" s="13" t="s">
        <v>0</v>
      </c>
      <c r="B1" t="s">
        <v>46</v>
      </c>
    </row>
    <row r="3" spans="1:2" x14ac:dyDescent="0.3">
      <c r="A3" s="13" t="s">
        <v>31</v>
      </c>
      <c r="B3" t="s">
        <v>42</v>
      </c>
    </row>
    <row r="4" spans="1:2" x14ac:dyDescent="0.3">
      <c r="A4" s="63">
        <v>45658</v>
      </c>
      <c r="B4" s="60">
        <v>95</v>
      </c>
    </row>
    <row r="5" spans="1:2" x14ac:dyDescent="0.3">
      <c r="A5" s="63">
        <v>45659</v>
      </c>
      <c r="B5" s="60">
        <v>49</v>
      </c>
    </row>
    <row r="6" spans="1:2" x14ac:dyDescent="0.3">
      <c r="A6" s="63">
        <v>45660</v>
      </c>
      <c r="B6" s="60">
        <v>39.200000000000003</v>
      </c>
    </row>
    <row r="7" spans="1:2" x14ac:dyDescent="0.3">
      <c r="A7" s="63">
        <v>45661</v>
      </c>
      <c r="B7" s="60">
        <v>139.5</v>
      </c>
    </row>
    <row r="8" spans="1:2" x14ac:dyDescent="0.3">
      <c r="A8" s="63">
        <v>45662</v>
      </c>
      <c r="B8" s="60">
        <v>54.45</v>
      </c>
    </row>
    <row r="9" spans="1:2" x14ac:dyDescent="0.3">
      <c r="A9" s="63">
        <v>45663</v>
      </c>
      <c r="B9" s="60">
        <v>44.55</v>
      </c>
    </row>
    <row r="10" spans="1:2" x14ac:dyDescent="0.3">
      <c r="A10" s="63">
        <v>45664</v>
      </c>
      <c r="B10" s="60">
        <v>19.760000000000002</v>
      </c>
    </row>
    <row r="11" spans="1:2" x14ac:dyDescent="0.3">
      <c r="A11" s="63">
        <v>45665</v>
      </c>
      <c r="B11" s="60">
        <v>19.760000000000002</v>
      </c>
    </row>
    <row r="12" spans="1:2" x14ac:dyDescent="0.3">
      <c r="A12" s="63">
        <v>45666</v>
      </c>
      <c r="B12" s="60">
        <v>139.5</v>
      </c>
    </row>
    <row r="13" spans="1:2" x14ac:dyDescent="0.3">
      <c r="A13" s="63">
        <v>45667</v>
      </c>
      <c r="B13" s="60">
        <v>58.2</v>
      </c>
    </row>
    <row r="14" spans="1:2" x14ac:dyDescent="0.3">
      <c r="A14" s="63">
        <v>45668</v>
      </c>
      <c r="B14" s="60">
        <v>135</v>
      </c>
    </row>
    <row r="15" spans="1:2" x14ac:dyDescent="0.3">
      <c r="A15" s="63">
        <v>45669</v>
      </c>
      <c r="B15" s="60">
        <v>33.6</v>
      </c>
    </row>
    <row r="16" spans="1:2" x14ac:dyDescent="0.3">
      <c r="A16" s="63">
        <v>45670</v>
      </c>
      <c r="B16" s="60">
        <v>69.75</v>
      </c>
    </row>
    <row r="17" spans="1:2" x14ac:dyDescent="0.3">
      <c r="A17" s="63">
        <v>45671</v>
      </c>
      <c r="B17" s="60">
        <v>101.2</v>
      </c>
    </row>
    <row r="18" spans="1:2" x14ac:dyDescent="0.3">
      <c r="A18" s="63" t="s">
        <v>32</v>
      </c>
      <c r="B18" s="60">
        <v>998.47000000000014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50D8E-19C6-4AD4-8515-69B125C07B23}">
  <dimension ref="A1:B18"/>
  <sheetViews>
    <sheetView workbookViewId="0"/>
  </sheetViews>
  <sheetFormatPr defaultRowHeight="14.4" x14ac:dyDescent="0.3"/>
  <cols>
    <col min="1" max="1" width="12.44140625" bestFit="1" customWidth="1"/>
    <col min="2" max="2" width="15" bestFit="1" customWidth="1"/>
  </cols>
  <sheetData>
    <row r="1" spans="1:2" x14ac:dyDescent="0.3">
      <c r="A1" s="13" t="s">
        <v>0</v>
      </c>
      <c r="B1" t="s">
        <v>46</v>
      </c>
    </row>
    <row r="3" spans="1:2" x14ac:dyDescent="0.3">
      <c r="A3" s="13" t="s">
        <v>31</v>
      </c>
      <c r="B3" t="s">
        <v>42</v>
      </c>
    </row>
    <row r="4" spans="1:2" x14ac:dyDescent="0.3">
      <c r="A4" s="63">
        <v>45658</v>
      </c>
      <c r="B4" s="60">
        <v>95</v>
      </c>
    </row>
    <row r="5" spans="1:2" x14ac:dyDescent="0.3">
      <c r="A5" s="63">
        <v>45659</v>
      </c>
      <c r="B5" s="60">
        <v>49</v>
      </c>
    </row>
    <row r="6" spans="1:2" x14ac:dyDescent="0.3">
      <c r="A6" s="63">
        <v>45660</v>
      </c>
      <c r="B6" s="60">
        <v>39.200000000000003</v>
      </c>
    </row>
    <row r="7" spans="1:2" x14ac:dyDescent="0.3">
      <c r="A7" s="63">
        <v>45661</v>
      </c>
      <c r="B7" s="60">
        <v>139.5</v>
      </c>
    </row>
    <row r="8" spans="1:2" x14ac:dyDescent="0.3">
      <c r="A8" s="63">
        <v>45662</v>
      </c>
      <c r="B8" s="60">
        <v>54.45</v>
      </c>
    </row>
    <row r="9" spans="1:2" x14ac:dyDescent="0.3">
      <c r="A9" s="63">
        <v>45663</v>
      </c>
      <c r="B9" s="60">
        <v>44.55</v>
      </c>
    </row>
    <row r="10" spans="1:2" x14ac:dyDescent="0.3">
      <c r="A10" s="63">
        <v>45664</v>
      </c>
      <c r="B10" s="60">
        <v>19.760000000000002</v>
      </c>
    </row>
    <row r="11" spans="1:2" x14ac:dyDescent="0.3">
      <c r="A11" s="63">
        <v>45665</v>
      </c>
      <c r="B11" s="60">
        <v>19.760000000000002</v>
      </c>
    </row>
    <row r="12" spans="1:2" x14ac:dyDescent="0.3">
      <c r="A12" s="63">
        <v>45666</v>
      </c>
      <c r="B12" s="60">
        <v>139.5</v>
      </c>
    </row>
    <row r="13" spans="1:2" x14ac:dyDescent="0.3">
      <c r="A13" s="63">
        <v>45667</v>
      </c>
      <c r="B13" s="60">
        <v>58.2</v>
      </c>
    </row>
    <row r="14" spans="1:2" x14ac:dyDescent="0.3">
      <c r="A14" s="63">
        <v>45668</v>
      </c>
      <c r="B14" s="60">
        <v>135</v>
      </c>
    </row>
    <row r="15" spans="1:2" x14ac:dyDescent="0.3">
      <c r="A15" s="63">
        <v>45669</v>
      </c>
      <c r="B15" s="60">
        <v>33.6</v>
      </c>
    </row>
    <row r="16" spans="1:2" x14ac:dyDescent="0.3">
      <c r="A16" s="63">
        <v>45670</v>
      </c>
      <c r="B16" s="60">
        <v>69.75</v>
      </c>
    </row>
    <row r="17" spans="1:2" x14ac:dyDescent="0.3">
      <c r="A17" s="63">
        <v>45671</v>
      </c>
      <c r="B17" s="60">
        <v>101.2</v>
      </c>
    </row>
    <row r="18" spans="1:2" x14ac:dyDescent="0.3">
      <c r="A18" s="63" t="s">
        <v>32</v>
      </c>
      <c r="B18" s="60">
        <v>998.47000000000014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9CE05-6B87-4ABB-8728-7143D0D6244C}">
  <dimension ref="A1:B18"/>
  <sheetViews>
    <sheetView workbookViewId="0"/>
  </sheetViews>
  <sheetFormatPr defaultRowHeight="14.4" x14ac:dyDescent="0.3"/>
  <cols>
    <col min="1" max="1" width="12.44140625" bestFit="1" customWidth="1"/>
    <col min="2" max="2" width="15" bestFit="1" customWidth="1"/>
  </cols>
  <sheetData>
    <row r="1" spans="1:2" x14ac:dyDescent="0.3">
      <c r="A1" s="13" t="s">
        <v>0</v>
      </c>
      <c r="B1" t="s">
        <v>46</v>
      </c>
    </row>
    <row r="3" spans="1:2" x14ac:dyDescent="0.3">
      <c r="A3" s="13" t="s">
        <v>31</v>
      </c>
      <c r="B3" t="s">
        <v>42</v>
      </c>
    </row>
    <row r="4" spans="1:2" x14ac:dyDescent="0.3">
      <c r="A4" s="63">
        <v>45658</v>
      </c>
      <c r="B4" s="60">
        <v>95</v>
      </c>
    </row>
    <row r="5" spans="1:2" x14ac:dyDescent="0.3">
      <c r="A5" s="63">
        <v>45659</v>
      </c>
      <c r="B5" s="60">
        <v>49</v>
      </c>
    </row>
    <row r="6" spans="1:2" x14ac:dyDescent="0.3">
      <c r="A6" s="63">
        <v>45660</v>
      </c>
      <c r="B6" s="60">
        <v>39.200000000000003</v>
      </c>
    </row>
    <row r="7" spans="1:2" x14ac:dyDescent="0.3">
      <c r="A7" s="63">
        <v>45661</v>
      </c>
      <c r="B7" s="60">
        <v>139.5</v>
      </c>
    </row>
    <row r="8" spans="1:2" x14ac:dyDescent="0.3">
      <c r="A8" s="63">
        <v>45662</v>
      </c>
      <c r="B8" s="60">
        <v>54.45</v>
      </c>
    </row>
    <row r="9" spans="1:2" x14ac:dyDescent="0.3">
      <c r="A9" s="63">
        <v>45663</v>
      </c>
      <c r="B9" s="60">
        <v>44.55</v>
      </c>
    </row>
    <row r="10" spans="1:2" x14ac:dyDescent="0.3">
      <c r="A10" s="63">
        <v>45664</v>
      </c>
      <c r="B10" s="60">
        <v>19.760000000000002</v>
      </c>
    </row>
    <row r="11" spans="1:2" x14ac:dyDescent="0.3">
      <c r="A11" s="63">
        <v>45665</v>
      </c>
      <c r="B11" s="60">
        <v>19.760000000000002</v>
      </c>
    </row>
    <row r="12" spans="1:2" x14ac:dyDescent="0.3">
      <c r="A12" s="63">
        <v>45666</v>
      </c>
      <c r="B12" s="60">
        <v>139.5</v>
      </c>
    </row>
    <row r="13" spans="1:2" x14ac:dyDescent="0.3">
      <c r="A13" s="63">
        <v>45667</v>
      </c>
      <c r="B13" s="60">
        <v>58.2</v>
      </c>
    </row>
    <row r="14" spans="1:2" x14ac:dyDescent="0.3">
      <c r="A14" s="63">
        <v>45668</v>
      </c>
      <c r="B14" s="60">
        <v>135</v>
      </c>
    </row>
    <row r="15" spans="1:2" x14ac:dyDescent="0.3">
      <c r="A15" s="63">
        <v>45669</v>
      </c>
      <c r="B15" s="60">
        <v>33.6</v>
      </c>
    </row>
    <row r="16" spans="1:2" x14ac:dyDescent="0.3">
      <c r="A16" s="63">
        <v>45670</v>
      </c>
      <c r="B16" s="60">
        <v>69.75</v>
      </c>
    </row>
    <row r="17" spans="1:2" x14ac:dyDescent="0.3">
      <c r="A17" s="63">
        <v>45671</v>
      </c>
      <c r="B17" s="60">
        <v>101.2</v>
      </c>
    </row>
    <row r="18" spans="1:2" x14ac:dyDescent="0.3">
      <c r="A18" s="63" t="s">
        <v>32</v>
      </c>
      <c r="B18" s="60">
        <v>998.47000000000014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04C6A-6B5E-443E-BEA0-03C5D73BFFF8}">
  <dimension ref="A1:B18"/>
  <sheetViews>
    <sheetView workbookViewId="0"/>
  </sheetViews>
  <sheetFormatPr defaultRowHeight="14.4" x14ac:dyDescent="0.3"/>
  <cols>
    <col min="1" max="1" width="12.44140625" bestFit="1" customWidth="1"/>
    <col min="2" max="2" width="15" bestFit="1" customWidth="1"/>
  </cols>
  <sheetData>
    <row r="1" spans="1:2" x14ac:dyDescent="0.3">
      <c r="A1" s="13" t="s">
        <v>0</v>
      </c>
      <c r="B1" t="s">
        <v>46</v>
      </c>
    </row>
    <row r="3" spans="1:2" x14ac:dyDescent="0.3">
      <c r="A3" s="13" t="s">
        <v>31</v>
      </c>
      <c r="B3" t="s">
        <v>42</v>
      </c>
    </row>
    <row r="4" spans="1:2" x14ac:dyDescent="0.3">
      <c r="A4" s="63">
        <v>45658</v>
      </c>
      <c r="B4" s="60">
        <v>95</v>
      </c>
    </row>
    <row r="5" spans="1:2" x14ac:dyDescent="0.3">
      <c r="A5" s="63">
        <v>45659</v>
      </c>
      <c r="B5" s="60">
        <v>49</v>
      </c>
    </row>
    <row r="6" spans="1:2" x14ac:dyDescent="0.3">
      <c r="A6" s="63">
        <v>45660</v>
      </c>
      <c r="B6" s="60">
        <v>39.200000000000003</v>
      </c>
    </row>
    <row r="7" spans="1:2" x14ac:dyDescent="0.3">
      <c r="A7" s="63">
        <v>45661</v>
      </c>
      <c r="B7" s="60">
        <v>139.5</v>
      </c>
    </row>
    <row r="8" spans="1:2" x14ac:dyDescent="0.3">
      <c r="A8" s="63">
        <v>45662</v>
      </c>
      <c r="B8" s="60">
        <v>54.45</v>
      </c>
    </row>
    <row r="9" spans="1:2" x14ac:dyDescent="0.3">
      <c r="A9" s="63">
        <v>45663</v>
      </c>
      <c r="B9" s="60">
        <v>44.55</v>
      </c>
    </row>
    <row r="10" spans="1:2" x14ac:dyDescent="0.3">
      <c r="A10" s="63">
        <v>45664</v>
      </c>
      <c r="B10" s="60">
        <v>19.760000000000002</v>
      </c>
    </row>
    <row r="11" spans="1:2" x14ac:dyDescent="0.3">
      <c r="A11" s="63">
        <v>45665</v>
      </c>
      <c r="B11" s="60">
        <v>19.760000000000002</v>
      </c>
    </row>
    <row r="12" spans="1:2" x14ac:dyDescent="0.3">
      <c r="A12" s="63">
        <v>45666</v>
      </c>
      <c r="B12" s="60">
        <v>139.5</v>
      </c>
    </row>
    <row r="13" spans="1:2" x14ac:dyDescent="0.3">
      <c r="A13" s="63">
        <v>45667</v>
      </c>
      <c r="B13" s="60">
        <v>58.2</v>
      </c>
    </row>
    <row r="14" spans="1:2" x14ac:dyDescent="0.3">
      <c r="A14" s="63">
        <v>45668</v>
      </c>
      <c r="B14" s="60">
        <v>135</v>
      </c>
    </row>
    <row r="15" spans="1:2" x14ac:dyDescent="0.3">
      <c r="A15" s="63">
        <v>45669</v>
      </c>
      <c r="B15" s="60">
        <v>33.6</v>
      </c>
    </row>
    <row r="16" spans="1:2" x14ac:dyDescent="0.3">
      <c r="A16" s="63">
        <v>45670</v>
      </c>
      <c r="B16" s="60">
        <v>69.75</v>
      </c>
    </row>
    <row r="17" spans="1:2" x14ac:dyDescent="0.3">
      <c r="A17" s="63">
        <v>45671</v>
      </c>
      <c r="B17" s="60">
        <v>101.2</v>
      </c>
    </row>
    <row r="18" spans="1:2" x14ac:dyDescent="0.3">
      <c r="A18" s="63" t="s">
        <v>32</v>
      </c>
      <c r="B18" s="60">
        <v>998.47000000000014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F7A0E-7DE5-41BA-99B0-EB9CB6BFB655}">
  <dimension ref="A1:J4"/>
  <sheetViews>
    <sheetView workbookViewId="0">
      <selection activeCell="A4" sqref="A4"/>
    </sheetView>
  </sheetViews>
  <sheetFormatPr defaultRowHeight="14.4" x14ac:dyDescent="0.3"/>
  <cols>
    <col min="1" max="1" width="12.21875" bestFit="1" customWidth="1"/>
    <col min="2" max="2" width="12.77734375" bestFit="1" customWidth="1"/>
    <col min="3" max="3" width="10.77734375" bestFit="1" customWidth="1"/>
    <col min="4" max="4" width="9.109375" bestFit="1" customWidth="1"/>
    <col min="5" max="5" width="11.109375" bestFit="1" customWidth="1"/>
    <col min="6" max="7" width="9" bestFit="1" customWidth="1"/>
    <col min="8" max="8" width="15.77734375" bestFit="1" customWidth="1"/>
    <col min="9" max="9" width="25.109375" bestFit="1" customWidth="1"/>
    <col min="10" max="10" width="18.44140625" bestFit="1" customWidth="1"/>
  </cols>
  <sheetData>
    <row r="1" spans="1:10" x14ac:dyDescent="0.3">
      <c r="A1" s="65" t="s">
        <v>47</v>
      </c>
    </row>
    <row r="3" spans="1:10" x14ac:dyDescent="0.3">
      <c r="A3" t="s">
        <v>0</v>
      </c>
      <c r="B3" t="s">
        <v>12</v>
      </c>
      <c r="C3" t="s">
        <v>2</v>
      </c>
      <c r="D3" t="s">
        <v>3</v>
      </c>
      <c r="E3" t="s">
        <v>23</v>
      </c>
      <c r="F3" t="s">
        <v>4</v>
      </c>
      <c r="G3" t="s">
        <v>22</v>
      </c>
      <c r="H3" t="s">
        <v>43</v>
      </c>
      <c r="I3" t="s">
        <v>44</v>
      </c>
      <c r="J3" t="s">
        <v>39</v>
      </c>
    </row>
    <row r="4" spans="1:10" x14ac:dyDescent="0.3">
      <c r="A4" t="s">
        <v>10</v>
      </c>
      <c r="B4" t="s">
        <v>16</v>
      </c>
      <c r="C4">
        <v>20</v>
      </c>
      <c r="D4" s="62">
        <v>45664</v>
      </c>
      <c r="E4">
        <v>19.760000000000002</v>
      </c>
      <c r="F4" t="s">
        <v>17</v>
      </c>
      <c r="G4">
        <v>1.2E-2</v>
      </c>
      <c r="H4" s="62">
        <v>45747</v>
      </c>
      <c r="I4">
        <v>-298</v>
      </c>
      <c r="J4" t="s">
        <v>40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1B1B7-ADBA-421B-BFC4-8EB31E91E690}">
  <dimension ref="A1:J17"/>
  <sheetViews>
    <sheetView workbookViewId="0">
      <selection activeCell="I21" sqref="I21"/>
    </sheetView>
  </sheetViews>
  <sheetFormatPr defaultRowHeight="14.4" x14ac:dyDescent="0.3"/>
  <cols>
    <col min="1" max="1" width="12.21875" bestFit="1" customWidth="1"/>
    <col min="2" max="2" width="12.77734375" bestFit="1" customWidth="1"/>
    <col min="3" max="3" width="10.77734375" bestFit="1" customWidth="1"/>
    <col min="4" max="4" width="10.109375" bestFit="1" customWidth="1"/>
    <col min="5" max="5" width="11.109375" bestFit="1" customWidth="1"/>
    <col min="6" max="7" width="9" bestFit="1" customWidth="1"/>
    <col min="8" max="8" width="15.77734375" bestFit="1" customWidth="1"/>
    <col min="9" max="9" width="25.109375" bestFit="1" customWidth="1"/>
    <col min="10" max="10" width="18.44140625" bestFit="1" customWidth="1"/>
  </cols>
  <sheetData>
    <row r="1" spans="1:10" x14ac:dyDescent="0.3">
      <c r="A1" s="65" t="s">
        <v>48</v>
      </c>
    </row>
    <row r="3" spans="1:10" x14ac:dyDescent="0.3">
      <c r="A3" t="s">
        <v>0</v>
      </c>
      <c r="B3" t="s">
        <v>12</v>
      </c>
      <c r="C3" t="s">
        <v>2</v>
      </c>
      <c r="D3" t="s">
        <v>3</v>
      </c>
      <c r="E3" t="s">
        <v>23</v>
      </c>
      <c r="F3" t="s">
        <v>4</v>
      </c>
      <c r="G3" t="s">
        <v>22</v>
      </c>
      <c r="H3" t="s">
        <v>43</v>
      </c>
      <c r="I3" t="s">
        <v>44</v>
      </c>
      <c r="J3" t="s">
        <v>39</v>
      </c>
    </row>
    <row r="4" spans="1:10" x14ac:dyDescent="0.3">
      <c r="A4" t="s">
        <v>5</v>
      </c>
      <c r="B4" t="s">
        <v>13</v>
      </c>
      <c r="C4">
        <v>100</v>
      </c>
      <c r="D4" s="62">
        <v>45658</v>
      </c>
      <c r="E4">
        <v>95</v>
      </c>
      <c r="F4" t="s">
        <v>17</v>
      </c>
      <c r="G4">
        <v>0.05</v>
      </c>
      <c r="H4" s="62">
        <v>45747</v>
      </c>
      <c r="I4">
        <v>-298</v>
      </c>
      <c r="J4" t="s">
        <v>40</v>
      </c>
    </row>
    <row r="5" spans="1:10" x14ac:dyDescent="0.3">
      <c r="A5" t="s">
        <v>6</v>
      </c>
      <c r="B5" t="s">
        <v>14</v>
      </c>
      <c r="C5">
        <v>50</v>
      </c>
      <c r="D5" s="62">
        <v>45659</v>
      </c>
      <c r="E5">
        <v>49</v>
      </c>
      <c r="F5" t="s">
        <v>18</v>
      </c>
      <c r="G5">
        <v>0.02</v>
      </c>
      <c r="H5" s="62">
        <v>45747</v>
      </c>
      <c r="I5">
        <v>-298</v>
      </c>
      <c r="J5" t="s">
        <v>41</v>
      </c>
    </row>
    <row r="6" spans="1:10" x14ac:dyDescent="0.3">
      <c r="A6" t="s">
        <v>7</v>
      </c>
      <c r="B6" t="s">
        <v>15</v>
      </c>
      <c r="C6">
        <v>40</v>
      </c>
      <c r="D6" s="62">
        <v>45660</v>
      </c>
      <c r="E6">
        <v>39.200000000000003</v>
      </c>
      <c r="F6" t="s">
        <v>19</v>
      </c>
      <c r="G6">
        <v>0.02</v>
      </c>
      <c r="H6" s="62">
        <v>45747</v>
      </c>
      <c r="I6">
        <v>-298</v>
      </c>
      <c r="J6" t="s">
        <v>40</v>
      </c>
    </row>
    <row r="7" spans="1:10" x14ac:dyDescent="0.3">
      <c r="A7" t="s">
        <v>8</v>
      </c>
      <c r="B7" t="s">
        <v>14</v>
      </c>
      <c r="C7">
        <v>150</v>
      </c>
      <c r="D7" s="62">
        <v>45661</v>
      </c>
      <c r="E7">
        <v>139.5</v>
      </c>
      <c r="F7" t="s">
        <v>20</v>
      </c>
      <c r="G7">
        <v>7.0000000000000007E-2</v>
      </c>
      <c r="H7" s="62">
        <v>45747</v>
      </c>
      <c r="I7">
        <v>-298</v>
      </c>
      <c r="J7" t="s">
        <v>41</v>
      </c>
    </row>
    <row r="8" spans="1:10" x14ac:dyDescent="0.3">
      <c r="A8" t="s">
        <v>5</v>
      </c>
      <c r="B8" t="s">
        <v>16</v>
      </c>
      <c r="C8">
        <v>55</v>
      </c>
      <c r="D8" s="62">
        <v>45662</v>
      </c>
      <c r="E8">
        <v>54.45</v>
      </c>
      <c r="F8" t="s">
        <v>17</v>
      </c>
      <c r="G8">
        <v>0.01</v>
      </c>
      <c r="H8" s="62">
        <v>45747</v>
      </c>
      <c r="I8">
        <v>-298</v>
      </c>
      <c r="J8" t="s">
        <v>40</v>
      </c>
    </row>
    <row r="9" spans="1:10" x14ac:dyDescent="0.3">
      <c r="A9" t="s">
        <v>9</v>
      </c>
      <c r="B9" t="s">
        <v>13</v>
      </c>
      <c r="C9">
        <v>45</v>
      </c>
      <c r="D9" s="62">
        <v>45663</v>
      </c>
      <c r="E9">
        <v>44.55</v>
      </c>
      <c r="F9" t="s">
        <v>21</v>
      </c>
      <c r="G9">
        <v>0.01</v>
      </c>
      <c r="H9" s="62">
        <v>45747</v>
      </c>
      <c r="I9">
        <v>-298</v>
      </c>
      <c r="J9" t="s">
        <v>40</v>
      </c>
    </row>
    <row r="10" spans="1:10" x14ac:dyDescent="0.3">
      <c r="A10" t="s">
        <v>10</v>
      </c>
      <c r="B10" t="s">
        <v>16</v>
      </c>
      <c r="C10">
        <v>20</v>
      </c>
      <c r="D10" s="62">
        <v>45664</v>
      </c>
      <c r="E10">
        <v>19.760000000000002</v>
      </c>
      <c r="F10" t="s">
        <v>17</v>
      </c>
      <c r="G10">
        <v>1.2E-2</v>
      </c>
      <c r="H10" s="62">
        <v>45747</v>
      </c>
      <c r="I10">
        <v>-298</v>
      </c>
      <c r="J10" t="s">
        <v>40</v>
      </c>
    </row>
    <row r="11" spans="1:10" x14ac:dyDescent="0.3">
      <c r="A11" t="s">
        <v>11</v>
      </c>
      <c r="B11" t="s">
        <v>16</v>
      </c>
      <c r="C11">
        <v>20</v>
      </c>
      <c r="D11" s="62">
        <v>45665</v>
      </c>
      <c r="E11">
        <v>19.760000000000002</v>
      </c>
      <c r="F11" t="s">
        <v>19</v>
      </c>
      <c r="G11">
        <v>1.2E-2</v>
      </c>
      <c r="H11" s="62">
        <v>45747</v>
      </c>
      <c r="I11">
        <v>-298</v>
      </c>
      <c r="J11" t="s">
        <v>40</v>
      </c>
    </row>
    <row r="12" spans="1:10" x14ac:dyDescent="0.3">
      <c r="A12" t="s">
        <v>6</v>
      </c>
      <c r="B12" t="s">
        <v>13</v>
      </c>
      <c r="C12">
        <v>150</v>
      </c>
      <c r="D12" s="62">
        <v>45666</v>
      </c>
      <c r="E12">
        <v>139.5</v>
      </c>
      <c r="F12" t="s">
        <v>18</v>
      </c>
      <c r="G12">
        <v>7.0000000000000007E-2</v>
      </c>
      <c r="H12" s="62">
        <v>45747</v>
      </c>
      <c r="I12">
        <v>-298</v>
      </c>
      <c r="J12" t="s">
        <v>41</v>
      </c>
    </row>
    <row r="13" spans="1:10" x14ac:dyDescent="0.3">
      <c r="A13" t="s">
        <v>7</v>
      </c>
      <c r="B13" t="s">
        <v>15</v>
      </c>
      <c r="C13">
        <v>60</v>
      </c>
      <c r="D13" s="62">
        <v>45667</v>
      </c>
      <c r="E13">
        <v>58.2</v>
      </c>
      <c r="F13" t="s">
        <v>19</v>
      </c>
      <c r="G13">
        <v>0.03</v>
      </c>
      <c r="H13" s="62">
        <v>45747</v>
      </c>
      <c r="I13">
        <v>-298</v>
      </c>
      <c r="J13" t="s">
        <v>40</v>
      </c>
    </row>
    <row r="14" spans="1:10" x14ac:dyDescent="0.3">
      <c r="A14" t="s">
        <v>9</v>
      </c>
      <c r="B14" t="s">
        <v>15</v>
      </c>
      <c r="C14">
        <v>150</v>
      </c>
      <c r="D14" s="62">
        <v>45668</v>
      </c>
      <c r="E14">
        <v>135</v>
      </c>
      <c r="F14" t="s">
        <v>26</v>
      </c>
      <c r="G14">
        <v>0.1</v>
      </c>
      <c r="H14" s="62">
        <v>45747</v>
      </c>
      <c r="I14">
        <v>-298</v>
      </c>
      <c r="J14" t="s">
        <v>40</v>
      </c>
    </row>
    <row r="15" spans="1:10" x14ac:dyDescent="0.3">
      <c r="A15" t="s">
        <v>8</v>
      </c>
      <c r="B15" t="s">
        <v>14</v>
      </c>
      <c r="C15">
        <v>35</v>
      </c>
      <c r="D15" s="62">
        <v>45669</v>
      </c>
      <c r="E15">
        <v>33.6</v>
      </c>
      <c r="F15" t="s">
        <v>20</v>
      </c>
      <c r="G15">
        <v>0.04</v>
      </c>
      <c r="H15" s="62">
        <v>45747</v>
      </c>
      <c r="I15">
        <v>-298</v>
      </c>
      <c r="J15" t="s">
        <v>41</v>
      </c>
    </row>
    <row r="16" spans="1:10" x14ac:dyDescent="0.3">
      <c r="A16" t="s">
        <v>11</v>
      </c>
      <c r="B16" t="s">
        <v>13</v>
      </c>
      <c r="C16">
        <v>75</v>
      </c>
      <c r="D16" s="62">
        <v>45670</v>
      </c>
      <c r="E16">
        <v>69.75</v>
      </c>
      <c r="F16" t="s">
        <v>19</v>
      </c>
      <c r="G16">
        <v>7.0000000000000007E-2</v>
      </c>
      <c r="H16" s="62">
        <v>45747</v>
      </c>
      <c r="I16">
        <v>-298</v>
      </c>
      <c r="J16" t="s">
        <v>41</v>
      </c>
    </row>
    <row r="17" spans="1:10" x14ac:dyDescent="0.3">
      <c r="A17" t="s">
        <v>10</v>
      </c>
      <c r="B17" t="s">
        <v>13</v>
      </c>
      <c r="C17">
        <v>110</v>
      </c>
      <c r="D17" s="62">
        <v>45671</v>
      </c>
      <c r="E17">
        <v>101.2</v>
      </c>
      <c r="F17" t="s">
        <v>17</v>
      </c>
      <c r="G17">
        <v>0.08</v>
      </c>
      <c r="H17" s="62">
        <v>45747</v>
      </c>
      <c r="I17">
        <v>-298</v>
      </c>
      <c r="J17" t="s">
        <v>41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1C4F1-0588-46D8-8F56-E00E8887D32B}">
  <dimension ref="A1:J8"/>
  <sheetViews>
    <sheetView workbookViewId="0">
      <selection activeCell="A3" sqref="A3"/>
    </sheetView>
  </sheetViews>
  <sheetFormatPr defaultRowHeight="14.4" x14ac:dyDescent="0.3"/>
  <cols>
    <col min="1" max="1" width="12.21875" bestFit="1" customWidth="1"/>
    <col min="2" max="2" width="12.77734375" bestFit="1" customWidth="1"/>
    <col min="3" max="3" width="10.77734375" bestFit="1" customWidth="1"/>
    <col min="4" max="4" width="10.109375" bestFit="1" customWidth="1"/>
    <col min="5" max="5" width="11.109375" bestFit="1" customWidth="1"/>
    <col min="6" max="7" width="9" bestFit="1" customWidth="1"/>
    <col min="8" max="8" width="15.77734375" bestFit="1" customWidth="1"/>
    <col min="9" max="9" width="25.109375" bestFit="1" customWidth="1"/>
    <col min="10" max="10" width="18.44140625" bestFit="1" customWidth="1"/>
  </cols>
  <sheetData>
    <row r="1" spans="1:10" x14ac:dyDescent="0.3">
      <c r="A1" s="65" t="s">
        <v>50</v>
      </c>
    </row>
    <row r="3" spans="1:10" x14ac:dyDescent="0.3">
      <c r="A3" t="s">
        <v>0</v>
      </c>
      <c r="B3" t="s">
        <v>12</v>
      </c>
      <c r="C3" t="s">
        <v>2</v>
      </c>
      <c r="D3" t="s">
        <v>3</v>
      </c>
      <c r="E3" t="s">
        <v>23</v>
      </c>
      <c r="F3" t="s">
        <v>4</v>
      </c>
      <c r="G3" t="s">
        <v>22</v>
      </c>
      <c r="H3" t="s">
        <v>43</v>
      </c>
      <c r="I3" t="s">
        <v>44</v>
      </c>
      <c r="J3" t="s">
        <v>39</v>
      </c>
    </row>
    <row r="4" spans="1:10" x14ac:dyDescent="0.3">
      <c r="A4" t="s">
        <v>5</v>
      </c>
      <c r="B4" t="s">
        <v>13</v>
      </c>
      <c r="C4">
        <v>100</v>
      </c>
      <c r="D4" s="62">
        <v>45658</v>
      </c>
      <c r="E4">
        <v>95</v>
      </c>
      <c r="F4" t="s">
        <v>17</v>
      </c>
      <c r="G4">
        <v>0.05</v>
      </c>
      <c r="H4" s="62">
        <v>45747</v>
      </c>
      <c r="I4">
        <v>-298</v>
      </c>
      <c r="J4" t="s">
        <v>40</v>
      </c>
    </row>
    <row r="5" spans="1:10" x14ac:dyDescent="0.3">
      <c r="A5" t="s">
        <v>9</v>
      </c>
      <c r="B5" t="s">
        <v>13</v>
      </c>
      <c r="C5">
        <v>45</v>
      </c>
      <c r="D5" s="62">
        <v>45663</v>
      </c>
      <c r="E5">
        <v>44.55</v>
      </c>
      <c r="F5" t="s">
        <v>21</v>
      </c>
      <c r="G5">
        <v>0.01</v>
      </c>
      <c r="H5" s="62">
        <v>45747</v>
      </c>
      <c r="I5">
        <v>-298</v>
      </c>
      <c r="J5" t="s">
        <v>40</v>
      </c>
    </row>
    <row r="6" spans="1:10" x14ac:dyDescent="0.3">
      <c r="A6" t="s">
        <v>6</v>
      </c>
      <c r="B6" t="s">
        <v>13</v>
      </c>
      <c r="C6">
        <v>150</v>
      </c>
      <c r="D6" s="62">
        <v>45666</v>
      </c>
      <c r="E6">
        <v>139.5</v>
      </c>
      <c r="F6" t="s">
        <v>18</v>
      </c>
      <c r="G6">
        <v>7.0000000000000007E-2</v>
      </c>
      <c r="H6" s="62">
        <v>45747</v>
      </c>
      <c r="I6">
        <v>-298</v>
      </c>
      <c r="J6" t="s">
        <v>41</v>
      </c>
    </row>
    <row r="7" spans="1:10" x14ac:dyDescent="0.3">
      <c r="A7" t="s">
        <v>11</v>
      </c>
      <c r="B7" t="s">
        <v>13</v>
      </c>
      <c r="C7">
        <v>75</v>
      </c>
      <c r="D7" s="62">
        <v>45670</v>
      </c>
      <c r="E7">
        <v>69.75</v>
      </c>
      <c r="F7" t="s">
        <v>19</v>
      </c>
      <c r="G7">
        <v>7.0000000000000007E-2</v>
      </c>
      <c r="H7" s="62">
        <v>45747</v>
      </c>
      <c r="I7">
        <v>-298</v>
      </c>
      <c r="J7" t="s">
        <v>41</v>
      </c>
    </row>
    <row r="8" spans="1:10" x14ac:dyDescent="0.3">
      <c r="A8" t="s">
        <v>10</v>
      </c>
      <c r="B8" t="s">
        <v>13</v>
      </c>
      <c r="C8">
        <v>110</v>
      </c>
      <c r="D8" s="62">
        <v>45671</v>
      </c>
      <c r="E8">
        <v>101.2</v>
      </c>
      <c r="F8" t="s">
        <v>17</v>
      </c>
      <c r="G8">
        <v>0.08</v>
      </c>
      <c r="H8" s="62">
        <v>45747</v>
      </c>
      <c r="I8">
        <v>-298</v>
      </c>
      <c r="J8" t="s">
        <v>41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FF252-8F36-45CB-ADC1-95EE9FC184F9}">
  <dimension ref="A1:J4"/>
  <sheetViews>
    <sheetView workbookViewId="0">
      <selection activeCell="A26" sqref="A26"/>
    </sheetView>
  </sheetViews>
  <sheetFormatPr defaultRowHeight="14.4" x14ac:dyDescent="0.3"/>
  <cols>
    <col min="1" max="1" width="12.21875" bestFit="1" customWidth="1"/>
    <col min="2" max="2" width="12.77734375" bestFit="1" customWidth="1"/>
    <col min="3" max="3" width="10.77734375" bestFit="1" customWidth="1"/>
    <col min="4" max="4" width="9.109375" bestFit="1" customWidth="1"/>
    <col min="5" max="5" width="11.109375" bestFit="1" customWidth="1"/>
    <col min="6" max="7" width="9" bestFit="1" customWidth="1"/>
    <col min="8" max="8" width="15.77734375" bestFit="1" customWidth="1"/>
    <col min="9" max="9" width="25.109375" bestFit="1" customWidth="1"/>
    <col min="10" max="10" width="18.44140625" bestFit="1" customWidth="1"/>
  </cols>
  <sheetData>
    <row r="1" spans="1:10" x14ac:dyDescent="0.3">
      <c r="A1" s="65" t="s">
        <v>49</v>
      </c>
    </row>
    <row r="3" spans="1:10" x14ac:dyDescent="0.3">
      <c r="A3" t="s">
        <v>0</v>
      </c>
      <c r="B3" t="s">
        <v>12</v>
      </c>
      <c r="C3" t="s">
        <v>2</v>
      </c>
      <c r="D3" t="s">
        <v>3</v>
      </c>
      <c r="E3" t="s">
        <v>23</v>
      </c>
      <c r="F3" t="s">
        <v>4</v>
      </c>
      <c r="G3" t="s">
        <v>22</v>
      </c>
      <c r="H3" t="s">
        <v>43</v>
      </c>
      <c r="I3" t="s">
        <v>44</v>
      </c>
      <c r="J3" t="s">
        <v>39</v>
      </c>
    </row>
    <row r="4" spans="1:10" x14ac:dyDescent="0.3">
      <c r="A4" t="s">
        <v>5</v>
      </c>
      <c r="B4" t="s">
        <v>13</v>
      </c>
      <c r="C4">
        <v>100</v>
      </c>
      <c r="D4" s="62">
        <v>45658</v>
      </c>
      <c r="E4">
        <v>95</v>
      </c>
      <c r="F4" t="s">
        <v>17</v>
      </c>
      <c r="G4">
        <v>0.05</v>
      </c>
      <c r="H4" s="62">
        <v>45747</v>
      </c>
      <c r="I4">
        <v>-298</v>
      </c>
      <c r="J4" t="s">
        <v>40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A614F-D2E6-4980-B56F-20FA04FC263C}">
  <dimension ref="A2:D50"/>
  <sheetViews>
    <sheetView rightToLeft="1" workbookViewId="0">
      <selection activeCell="C20" sqref="C20"/>
    </sheetView>
  </sheetViews>
  <sheetFormatPr defaultRowHeight="14.4" x14ac:dyDescent="0.3"/>
  <cols>
    <col min="1" max="1" width="18.21875" customWidth="1"/>
    <col min="2" max="2" width="16.109375" customWidth="1"/>
    <col min="3" max="3" width="24.5546875" customWidth="1"/>
    <col min="4" max="4" width="23.5546875" customWidth="1"/>
    <col min="5" max="5" width="15.6640625" customWidth="1"/>
    <col min="6" max="6" width="11.109375" bestFit="1" customWidth="1"/>
    <col min="7" max="7" width="13.109375" bestFit="1" customWidth="1"/>
    <col min="8" max="8" width="7.5546875" bestFit="1" customWidth="1"/>
    <col min="9" max="9" width="10.5546875" bestFit="1" customWidth="1"/>
    <col min="10" max="10" width="9.109375" bestFit="1" customWidth="1"/>
    <col min="11" max="15" width="10.109375" bestFit="1" customWidth="1"/>
    <col min="16" max="16" width="10.5546875" bestFit="1" customWidth="1"/>
  </cols>
  <sheetData>
    <row r="2" spans="1:4" x14ac:dyDescent="0.3">
      <c r="A2" s="13" t="s">
        <v>0</v>
      </c>
      <c r="B2" s="33" t="s">
        <v>46</v>
      </c>
    </row>
    <row r="4" spans="1:4" x14ac:dyDescent="0.3">
      <c r="B4" s="13" t="s">
        <v>36</v>
      </c>
    </row>
    <row r="5" spans="1:4" x14ac:dyDescent="0.3">
      <c r="A5" s="13" t="s">
        <v>31</v>
      </c>
      <c r="B5" t="s">
        <v>53</v>
      </c>
      <c r="C5" t="s">
        <v>54</v>
      </c>
      <c r="D5" t="s">
        <v>32</v>
      </c>
    </row>
    <row r="6" spans="1:4" x14ac:dyDescent="0.3">
      <c r="A6" s="33" t="s">
        <v>52</v>
      </c>
      <c r="B6" s="60"/>
      <c r="C6" s="60"/>
      <c r="D6" s="60"/>
    </row>
    <row r="7" spans="1:4" x14ac:dyDescent="0.3">
      <c r="A7" s="61">
        <v>45658</v>
      </c>
      <c r="B7" s="60">
        <v>1.9000000000000001</v>
      </c>
      <c r="C7" s="60">
        <v>0</v>
      </c>
      <c r="D7" s="60">
        <v>1.9000000000000001</v>
      </c>
    </row>
    <row r="8" spans="1:4" x14ac:dyDescent="0.3">
      <c r="A8" s="61">
        <v>45659</v>
      </c>
      <c r="B8" s="60">
        <v>0.98</v>
      </c>
      <c r="C8" s="60">
        <v>0</v>
      </c>
      <c r="D8" s="60">
        <v>0.98</v>
      </c>
    </row>
    <row r="9" spans="1:4" x14ac:dyDescent="0.3">
      <c r="A9" s="61">
        <v>45660</v>
      </c>
      <c r="B9" s="60">
        <v>0</v>
      </c>
      <c r="C9" s="60">
        <v>0.78400000000000003</v>
      </c>
      <c r="D9" s="60">
        <v>0.78400000000000003</v>
      </c>
    </row>
    <row r="10" spans="1:4" x14ac:dyDescent="0.3">
      <c r="A10" s="61">
        <v>45661</v>
      </c>
      <c r="B10" s="60">
        <v>2.79</v>
      </c>
      <c r="C10" s="60">
        <v>0</v>
      </c>
      <c r="D10" s="60">
        <v>2.79</v>
      </c>
    </row>
    <row r="11" spans="1:4" x14ac:dyDescent="0.3">
      <c r="A11" s="61">
        <v>45662</v>
      </c>
      <c r="B11" s="60">
        <v>1.0890000000000002</v>
      </c>
      <c r="C11" s="60">
        <v>0</v>
      </c>
      <c r="D11" s="60">
        <v>1.0890000000000002</v>
      </c>
    </row>
    <row r="12" spans="1:4" x14ac:dyDescent="0.3">
      <c r="A12" s="61">
        <v>45663</v>
      </c>
      <c r="B12" s="60">
        <v>0.89100000000000001</v>
      </c>
      <c r="C12" s="60">
        <v>0</v>
      </c>
      <c r="D12" s="60">
        <v>0.89100000000000001</v>
      </c>
    </row>
    <row r="13" spans="1:4" x14ac:dyDescent="0.3">
      <c r="A13" s="61">
        <v>45664</v>
      </c>
      <c r="B13" s="60">
        <v>0</v>
      </c>
      <c r="C13" s="60">
        <v>0.39520000000000005</v>
      </c>
      <c r="D13" s="60">
        <v>0.39520000000000005</v>
      </c>
    </row>
    <row r="14" spans="1:4" x14ac:dyDescent="0.3">
      <c r="A14" s="61">
        <v>45665</v>
      </c>
      <c r="B14" s="60">
        <v>0</v>
      </c>
      <c r="C14" s="60">
        <v>0.39520000000000005</v>
      </c>
      <c r="D14" s="60">
        <v>0.39520000000000005</v>
      </c>
    </row>
    <row r="15" spans="1:4" x14ac:dyDescent="0.3">
      <c r="A15" s="61">
        <v>45666</v>
      </c>
      <c r="B15" s="60">
        <v>2.79</v>
      </c>
      <c r="C15" s="60">
        <v>0</v>
      </c>
      <c r="D15" s="60">
        <v>2.79</v>
      </c>
    </row>
    <row r="16" spans="1:4" x14ac:dyDescent="0.3">
      <c r="A16" s="61">
        <v>45667</v>
      </c>
      <c r="B16" s="60">
        <v>0</v>
      </c>
      <c r="C16" s="60">
        <v>1.1640000000000001</v>
      </c>
      <c r="D16" s="60">
        <v>1.1640000000000001</v>
      </c>
    </row>
    <row r="17" spans="1:4" x14ac:dyDescent="0.3">
      <c r="A17" s="61">
        <v>45668</v>
      </c>
      <c r="B17" s="60">
        <v>2.7</v>
      </c>
      <c r="C17" s="60">
        <v>0</v>
      </c>
      <c r="D17" s="60">
        <v>2.7</v>
      </c>
    </row>
    <row r="18" spans="1:4" x14ac:dyDescent="0.3">
      <c r="A18" s="61">
        <v>45669</v>
      </c>
      <c r="B18" s="60">
        <v>0.67200000000000004</v>
      </c>
      <c r="C18" s="60">
        <v>0</v>
      </c>
      <c r="D18" s="60">
        <v>0.67200000000000004</v>
      </c>
    </row>
    <row r="19" spans="1:4" x14ac:dyDescent="0.3">
      <c r="A19" s="61">
        <v>45670</v>
      </c>
      <c r="B19" s="60">
        <v>0</v>
      </c>
      <c r="C19" s="60">
        <v>1.395</v>
      </c>
      <c r="D19" s="60">
        <v>1.395</v>
      </c>
    </row>
    <row r="20" spans="1:4" x14ac:dyDescent="0.3">
      <c r="A20" s="61">
        <v>45671</v>
      </c>
      <c r="B20" s="60">
        <v>0</v>
      </c>
      <c r="C20" s="60">
        <v>2.024</v>
      </c>
      <c r="D20" s="60">
        <v>2.024</v>
      </c>
    </row>
    <row r="21" spans="1:4" x14ac:dyDescent="0.3">
      <c r="A21" s="33" t="s">
        <v>51</v>
      </c>
      <c r="B21" s="60"/>
      <c r="C21" s="60"/>
      <c r="D21" s="60"/>
    </row>
    <row r="22" spans="1:4" x14ac:dyDescent="0.3">
      <c r="A22" s="61">
        <v>45658</v>
      </c>
      <c r="B22" s="60">
        <v>95</v>
      </c>
      <c r="C22" s="60"/>
      <c r="D22" s="60">
        <v>95</v>
      </c>
    </row>
    <row r="23" spans="1:4" x14ac:dyDescent="0.3">
      <c r="A23" s="61">
        <v>45659</v>
      </c>
      <c r="B23" s="60">
        <v>49</v>
      </c>
      <c r="C23" s="60"/>
      <c r="D23" s="60">
        <v>49</v>
      </c>
    </row>
    <row r="24" spans="1:4" x14ac:dyDescent="0.3">
      <c r="A24" s="61">
        <v>45660</v>
      </c>
      <c r="B24" s="60"/>
      <c r="C24" s="60">
        <v>39.200000000000003</v>
      </c>
      <c r="D24" s="60">
        <v>39.200000000000003</v>
      </c>
    </row>
    <row r="25" spans="1:4" x14ac:dyDescent="0.3">
      <c r="A25" s="61">
        <v>45661</v>
      </c>
      <c r="B25" s="60">
        <v>139.5</v>
      </c>
      <c r="C25" s="60"/>
      <c r="D25" s="60">
        <v>139.5</v>
      </c>
    </row>
    <row r="26" spans="1:4" x14ac:dyDescent="0.3">
      <c r="A26" s="61">
        <v>45662</v>
      </c>
      <c r="B26" s="60">
        <v>54.45</v>
      </c>
      <c r="C26" s="60"/>
      <c r="D26" s="60">
        <v>54.45</v>
      </c>
    </row>
    <row r="27" spans="1:4" x14ac:dyDescent="0.3">
      <c r="A27" s="61">
        <v>45663</v>
      </c>
      <c r="B27" s="60">
        <v>44.55</v>
      </c>
      <c r="C27" s="60"/>
      <c r="D27" s="60">
        <v>44.55</v>
      </c>
    </row>
    <row r="28" spans="1:4" x14ac:dyDescent="0.3">
      <c r="A28" s="61">
        <v>45664</v>
      </c>
      <c r="B28" s="60"/>
      <c r="C28" s="60">
        <v>19.760000000000002</v>
      </c>
      <c r="D28" s="60">
        <v>19.760000000000002</v>
      </c>
    </row>
    <row r="29" spans="1:4" x14ac:dyDescent="0.3">
      <c r="A29" s="61">
        <v>45665</v>
      </c>
      <c r="B29" s="60"/>
      <c r="C29" s="60">
        <v>19.760000000000002</v>
      </c>
      <c r="D29" s="60">
        <v>19.760000000000002</v>
      </c>
    </row>
    <row r="30" spans="1:4" x14ac:dyDescent="0.3">
      <c r="A30" s="61">
        <v>45666</v>
      </c>
      <c r="B30" s="60">
        <v>139.5</v>
      </c>
      <c r="C30" s="60"/>
      <c r="D30" s="60">
        <v>139.5</v>
      </c>
    </row>
    <row r="31" spans="1:4" x14ac:dyDescent="0.3">
      <c r="A31" s="61">
        <v>45667</v>
      </c>
      <c r="B31" s="60"/>
      <c r="C31" s="60">
        <v>58.2</v>
      </c>
      <c r="D31" s="60">
        <v>58.2</v>
      </c>
    </row>
    <row r="32" spans="1:4" x14ac:dyDescent="0.3">
      <c r="A32" s="61">
        <v>45668</v>
      </c>
      <c r="B32" s="60">
        <v>135</v>
      </c>
      <c r="C32" s="60"/>
      <c r="D32" s="60">
        <v>135</v>
      </c>
    </row>
    <row r="33" spans="1:4" x14ac:dyDescent="0.3">
      <c r="A33" s="61">
        <v>45669</v>
      </c>
      <c r="B33" s="60">
        <v>33.6</v>
      </c>
      <c r="C33" s="60"/>
      <c r="D33" s="60">
        <v>33.6</v>
      </c>
    </row>
    <row r="34" spans="1:4" x14ac:dyDescent="0.3">
      <c r="A34" s="61">
        <v>45670</v>
      </c>
      <c r="B34" s="60"/>
      <c r="C34" s="60">
        <v>69.75</v>
      </c>
      <c r="D34" s="60">
        <v>69.75</v>
      </c>
    </row>
    <row r="35" spans="1:4" x14ac:dyDescent="0.3">
      <c r="A35" s="61">
        <v>45671</v>
      </c>
      <c r="B35" s="60"/>
      <c r="C35" s="60">
        <v>101.2</v>
      </c>
      <c r="D35" s="60">
        <v>101.2</v>
      </c>
    </row>
    <row r="36" spans="1:4" x14ac:dyDescent="0.3">
      <c r="A36" s="33" t="s">
        <v>42</v>
      </c>
      <c r="B36" s="60"/>
      <c r="C36" s="60"/>
      <c r="D36" s="60"/>
    </row>
    <row r="37" spans="1:4" x14ac:dyDescent="0.3">
      <c r="A37" s="61">
        <v>45658</v>
      </c>
      <c r="B37" s="60">
        <v>95</v>
      </c>
      <c r="C37" s="60"/>
      <c r="D37" s="60">
        <v>95</v>
      </c>
    </row>
    <row r="38" spans="1:4" x14ac:dyDescent="0.3">
      <c r="A38" s="61">
        <v>45659</v>
      </c>
      <c r="B38" s="60">
        <v>49</v>
      </c>
      <c r="C38" s="60"/>
      <c r="D38" s="60">
        <v>49</v>
      </c>
    </row>
    <row r="39" spans="1:4" x14ac:dyDescent="0.3">
      <c r="A39" s="61">
        <v>45660</v>
      </c>
      <c r="B39" s="60"/>
      <c r="C39" s="60">
        <v>39.200000000000003</v>
      </c>
      <c r="D39" s="60">
        <v>39.200000000000003</v>
      </c>
    </row>
    <row r="40" spans="1:4" x14ac:dyDescent="0.3">
      <c r="A40" s="61">
        <v>45661</v>
      </c>
      <c r="B40" s="60">
        <v>139.5</v>
      </c>
      <c r="C40" s="60"/>
      <c r="D40" s="60">
        <v>139.5</v>
      </c>
    </row>
    <row r="41" spans="1:4" x14ac:dyDescent="0.3">
      <c r="A41" s="61">
        <v>45662</v>
      </c>
      <c r="B41" s="60">
        <v>54.45</v>
      </c>
      <c r="C41" s="60"/>
      <c r="D41" s="60">
        <v>54.45</v>
      </c>
    </row>
    <row r="42" spans="1:4" x14ac:dyDescent="0.3">
      <c r="A42" s="61">
        <v>45663</v>
      </c>
      <c r="B42" s="60">
        <v>44.55</v>
      </c>
      <c r="C42" s="60"/>
      <c r="D42" s="60">
        <v>44.55</v>
      </c>
    </row>
    <row r="43" spans="1:4" x14ac:dyDescent="0.3">
      <c r="A43" s="61">
        <v>45664</v>
      </c>
      <c r="B43" s="60"/>
      <c r="C43" s="60">
        <v>19.760000000000002</v>
      </c>
      <c r="D43" s="60">
        <v>19.760000000000002</v>
      </c>
    </row>
    <row r="44" spans="1:4" x14ac:dyDescent="0.3">
      <c r="A44" s="61">
        <v>45665</v>
      </c>
      <c r="B44" s="60"/>
      <c r="C44" s="60">
        <v>19.760000000000002</v>
      </c>
      <c r="D44" s="60">
        <v>19.760000000000002</v>
      </c>
    </row>
    <row r="45" spans="1:4" x14ac:dyDescent="0.3">
      <c r="A45" s="61">
        <v>45666</v>
      </c>
      <c r="B45" s="60">
        <v>139.5</v>
      </c>
      <c r="C45" s="60"/>
      <c r="D45" s="60">
        <v>139.5</v>
      </c>
    </row>
    <row r="46" spans="1:4" x14ac:dyDescent="0.3">
      <c r="A46" s="61">
        <v>45667</v>
      </c>
      <c r="B46" s="60"/>
      <c r="C46" s="60">
        <v>58.2</v>
      </c>
      <c r="D46" s="60">
        <v>58.2</v>
      </c>
    </row>
    <row r="47" spans="1:4" x14ac:dyDescent="0.3">
      <c r="A47" s="61">
        <v>45668</v>
      </c>
      <c r="B47" s="60">
        <v>135</v>
      </c>
      <c r="C47" s="60"/>
      <c r="D47" s="60">
        <v>135</v>
      </c>
    </row>
    <row r="48" spans="1:4" x14ac:dyDescent="0.3">
      <c r="A48" s="61">
        <v>45669</v>
      </c>
      <c r="B48" s="60">
        <v>33.6</v>
      </c>
      <c r="C48" s="60"/>
      <c r="D48" s="60">
        <v>33.6</v>
      </c>
    </row>
    <row r="49" spans="1:4" x14ac:dyDescent="0.3">
      <c r="A49" s="61">
        <v>45670</v>
      </c>
      <c r="B49" s="60"/>
      <c r="C49" s="60">
        <v>69.75</v>
      </c>
      <c r="D49" s="60">
        <v>69.75</v>
      </c>
    </row>
    <row r="50" spans="1:4" x14ac:dyDescent="0.3">
      <c r="A50" s="61">
        <v>45671</v>
      </c>
      <c r="B50" s="60"/>
      <c r="C50" s="60">
        <v>101.2</v>
      </c>
      <c r="D50" s="60">
        <v>101.2</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CCD94-1ED3-4151-AA27-A634D1D11B9C}">
  <dimension ref="A2:W20"/>
  <sheetViews>
    <sheetView rightToLeft="1" tabSelected="1" zoomScaleNormal="98" workbookViewId="0">
      <selection activeCell="H13" sqref="H13"/>
    </sheetView>
  </sheetViews>
  <sheetFormatPr defaultRowHeight="14.4" x14ac:dyDescent="0.3"/>
  <cols>
    <col min="2" max="2" width="11.6640625" customWidth="1"/>
    <col min="3" max="3" width="16.33203125" bestFit="1" customWidth="1"/>
    <col min="4" max="4" width="15" bestFit="1" customWidth="1"/>
    <col min="5" max="5" width="10.33203125" bestFit="1" customWidth="1"/>
    <col min="6" max="6" width="10.33203125" customWidth="1"/>
    <col min="7" max="8" width="17.21875" customWidth="1"/>
    <col min="9" max="9" width="22.88671875" bestFit="1" customWidth="1"/>
    <col min="10" max="10" width="22.88671875" customWidth="1"/>
    <col min="11" max="11" width="18.44140625" bestFit="1" customWidth="1"/>
    <col min="12" max="12" width="11.6640625" customWidth="1"/>
    <col min="13" max="13" width="15" bestFit="1" customWidth="1"/>
    <col min="14" max="14" width="16.5546875" customWidth="1"/>
    <col min="15" max="15" width="18.44140625" customWidth="1"/>
    <col min="16" max="16" width="19.21875" bestFit="1" customWidth="1"/>
    <col min="19" max="19" width="13.88671875" customWidth="1"/>
    <col min="20" max="20" width="12.33203125" customWidth="1"/>
    <col min="21" max="21" width="19.6640625" customWidth="1"/>
    <col min="22" max="22" width="12.5546875" customWidth="1"/>
    <col min="23" max="23" width="13.6640625" customWidth="1"/>
  </cols>
  <sheetData>
    <row r="2" spans="2:23" ht="14.4" customHeight="1" x14ac:dyDescent="0.3">
      <c r="B2" s="67" t="s">
        <v>28</v>
      </c>
      <c r="C2" s="68"/>
      <c r="D2" s="68"/>
      <c r="E2" s="68"/>
      <c r="F2" s="68"/>
      <c r="G2" s="68"/>
      <c r="H2" s="68"/>
      <c r="I2" s="68"/>
      <c r="J2" s="68"/>
      <c r="K2" s="69"/>
      <c r="S2" s="66" t="s">
        <v>29</v>
      </c>
      <c r="T2" s="66"/>
      <c r="U2" s="66"/>
      <c r="V2" s="66"/>
      <c r="W2" s="66"/>
    </row>
    <row r="3" spans="2:23" ht="14.4" customHeight="1" x14ac:dyDescent="0.3">
      <c r="B3" s="70"/>
      <c r="C3" s="71"/>
      <c r="D3" s="71"/>
      <c r="E3" s="71"/>
      <c r="F3" s="71"/>
      <c r="G3" s="71"/>
      <c r="H3" s="71"/>
      <c r="I3" s="71"/>
      <c r="J3" s="71"/>
      <c r="K3" s="72"/>
      <c r="S3" s="66"/>
      <c r="T3" s="66"/>
      <c r="U3" s="66"/>
      <c r="V3" s="66"/>
      <c r="W3" s="66"/>
    </row>
    <row r="5" spans="2:23" x14ac:dyDescent="0.3">
      <c r="B5" s="18" t="s">
        <v>0</v>
      </c>
      <c r="C5" s="19" t="s">
        <v>12</v>
      </c>
      <c r="D5" s="19" t="s">
        <v>2</v>
      </c>
      <c r="E5" s="20" t="s">
        <v>3</v>
      </c>
      <c r="F5" s="38" t="s">
        <v>23</v>
      </c>
      <c r="G5" s="20" t="s">
        <v>4</v>
      </c>
      <c r="H5" s="21" t="s">
        <v>22</v>
      </c>
      <c r="I5" s="50" t="s">
        <v>43</v>
      </c>
      <c r="J5" s="54" t="s">
        <v>44</v>
      </c>
      <c r="K5" s="39" t="s">
        <v>39</v>
      </c>
      <c r="M5" t="s">
        <v>27</v>
      </c>
      <c r="N5" t="s">
        <v>23</v>
      </c>
      <c r="O5" t="s">
        <v>12</v>
      </c>
      <c r="P5" t="s">
        <v>39</v>
      </c>
      <c r="S5" s="31" t="s">
        <v>24</v>
      </c>
      <c r="T5" s="30" t="s">
        <v>0</v>
      </c>
      <c r="U5" s="36" t="s">
        <v>1</v>
      </c>
      <c r="V5" s="36" t="s">
        <v>25</v>
      </c>
      <c r="W5" s="37" t="s">
        <v>4</v>
      </c>
    </row>
    <row r="6" spans="2:23" x14ac:dyDescent="0.3">
      <c r="B6" s="15" t="s">
        <v>5</v>
      </c>
      <c r="C6" s="7" t="s">
        <v>13</v>
      </c>
      <c r="D6" s="4">
        <v>100</v>
      </c>
      <c r="E6" s="2">
        <v>45658</v>
      </c>
      <c r="F6" s="3">
        <f>D6-(D6*H6)</f>
        <v>95</v>
      </c>
      <c r="G6" s="1" t="s">
        <v>17</v>
      </c>
      <c r="H6" s="16">
        <v>0.05</v>
      </c>
      <c r="I6" s="51">
        <f>EOMONTH(MainTable[[#This Row],[Date]],2)</f>
        <v>45747</v>
      </c>
      <c r="J6" s="55">
        <f ca="1">MainTable[[#This Row],[collection date]]-TODAY()</f>
        <v>-307</v>
      </c>
      <c r="K6" s="1" t="s">
        <v>40</v>
      </c>
      <c r="M6" t="s">
        <v>5</v>
      </c>
      <c r="N6" t="e">
        <f>INDEX(MainTable[Net profit],MATCH($M$7,MainTable[[Customers]:[Customers]],0),MATCH(N4,MainTable[[#Headers],[Net profit]]))</f>
        <v>#N/A</v>
      </c>
      <c r="O6" t="str">
        <f>INDEX(MainTable[City],MATCH($M$6,MainTable[[Customers]:[Customers]],0),MATCH(O5,MainTable[[#Headers],[City]]))</f>
        <v>istanbul</v>
      </c>
      <c r="P6">
        <f>INDEX(MainTable[the tax],MATCH($M$6,MainTable[[Customers]:[Customers]],0),MATCH(P5,MainTable[[#Headers],[the tax]]))</f>
        <v>0.05</v>
      </c>
      <c r="S6" s="6">
        <f t="shared" ref="S6:S12" si="0">SUMIFS(F6:F19,B6:B19,T6,C6:C19,"necklace")+SUMIFS(F6:F19,B6:B19,T6,C6:C19,"ring")+SUMIFS(F6:F19,B6:B19,T6,C6:C19,"wristband")+SUMIFS(F6:F19,B6:B19,T6,C6:C19,"sunglasses")</f>
        <v>188.5</v>
      </c>
      <c r="T6" s="15" t="s">
        <v>6</v>
      </c>
      <c r="U6" s="1" t="str">
        <f t="shared" ref="U6:U12" si="1">IF(S6&gt;100,"Good Customer","Normal Customer")</f>
        <v>Good Customer</v>
      </c>
      <c r="V6" s="9">
        <f t="shared" ref="V6:V12" si="2">S6/SUM(S6:S12)</f>
        <v>0.21810313906533832</v>
      </c>
      <c r="W6" s="29" t="str">
        <f>VLOOKUP(T6, database!$A$2:$B$8,2, FALSE)</f>
        <v>berlin</v>
      </c>
    </row>
    <row r="7" spans="2:23" x14ac:dyDescent="0.3">
      <c r="B7" s="15" t="s">
        <v>6</v>
      </c>
      <c r="C7" s="7" t="s">
        <v>14</v>
      </c>
      <c r="D7" s="4">
        <v>50</v>
      </c>
      <c r="E7" s="2">
        <v>45659</v>
      </c>
      <c r="F7" s="3">
        <f t="shared" ref="F7:F19" si="3">D7-(D7*H7)</f>
        <v>49</v>
      </c>
      <c r="G7" s="1" t="s">
        <v>18</v>
      </c>
      <c r="H7" s="16">
        <v>0.02</v>
      </c>
      <c r="I7" s="51">
        <f>EOMONTH(MainTable[[#This Row],[Date]],2)</f>
        <v>45747</v>
      </c>
      <c r="J7" s="55">
        <f ca="1">MainTable[[#This Row],[collection date]]-TODAY()</f>
        <v>-307</v>
      </c>
      <c r="K7" s="1" t="s">
        <v>41</v>
      </c>
      <c r="M7" t="s">
        <v>6</v>
      </c>
      <c r="N7">
        <f>INDEX(MainTable[Net profit],MATCH($M$7,MainTable[[Customers]:[Customers]],0),MATCH(N5,MainTable[[#Headers],[Net profit]]))</f>
        <v>49</v>
      </c>
      <c r="O7" t="str">
        <f>INDEX(MainTable[City],MATCH($M$7,MainTable[[Customers]:[Customers]],0),MATCH(O6,MainTable[[#Headers],[City]]))</f>
        <v>berlin</v>
      </c>
      <c r="P7">
        <f>INDEX(MainTable[the tax],MATCH($M$7,MainTable[[Customers]:[Customers]],0),MATCH(P5,MainTable[[#Headers],[the tax]]))</f>
        <v>0.02</v>
      </c>
      <c r="S7" s="6">
        <f t="shared" si="0"/>
        <v>173.1</v>
      </c>
      <c r="T7" s="15" t="s">
        <v>8</v>
      </c>
      <c r="U7" s="1" t="str">
        <f t="shared" si="1"/>
        <v>Good Customer</v>
      </c>
      <c r="V7" s="9">
        <f t="shared" si="2"/>
        <v>0.25615224114713581</v>
      </c>
      <c r="W7" s="29" t="str">
        <f>VLOOKUP(T7, database!$A$2:$B$8,2, FALSE)</f>
        <v>dubi</v>
      </c>
    </row>
    <row r="8" spans="2:23" x14ac:dyDescent="0.3">
      <c r="B8" s="15" t="s">
        <v>7</v>
      </c>
      <c r="C8" s="7" t="s">
        <v>15</v>
      </c>
      <c r="D8" s="4">
        <v>40</v>
      </c>
      <c r="E8" s="2">
        <v>45660</v>
      </c>
      <c r="F8" s="3">
        <f t="shared" si="3"/>
        <v>39.200000000000003</v>
      </c>
      <c r="G8" s="1" t="s">
        <v>19</v>
      </c>
      <c r="H8" s="16">
        <v>0.02</v>
      </c>
      <c r="I8" s="51">
        <f>EOMONTH(MainTable[[#This Row],[Date]],2)</f>
        <v>45747</v>
      </c>
      <c r="J8" s="55">
        <f ca="1">MainTable[[#This Row],[collection date]]-TODAY()</f>
        <v>-307</v>
      </c>
      <c r="K8" s="1" t="s">
        <v>40</v>
      </c>
      <c r="S8" s="6">
        <f t="shared" si="0"/>
        <v>179.55</v>
      </c>
      <c r="T8" s="15" t="s">
        <v>9</v>
      </c>
      <c r="U8" s="1" t="str">
        <f t="shared" si="1"/>
        <v>Good Customer</v>
      </c>
      <c r="V8" s="9">
        <f t="shared" si="2"/>
        <v>0.35719259156106398</v>
      </c>
      <c r="W8" s="29" t="str">
        <f>VLOOKUP(T8, database!$A$2:$B$8,2, FALSE)</f>
        <v>egypt</v>
      </c>
    </row>
    <row r="9" spans="2:23" x14ac:dyDescent="0.3">
      <c r="B9" s="15" t="s">
        <v>8</v>
      </c>
      <c r="C9" s="7" t="s">
        <v>14</v>
      </c>
      <c r="D9" s="5">
        <v>150</v>
      </c>
      <c r="E9" s="2">
        <v>45661</v>
      </c>
      <c r="F9" s="3">
        <f t="shared" si="3"/>
        <v>139.5</v>
      </c>
      <c r="G9" s="1" t="s">
        <v>20</v>
      </c>
      <c r="H9" s="16">
        <v>7.0000000000000007E-2</v>
      </c>
      <c r="I9" s="51">
        <f>EOMONTH(MainTable[[#This Row],[Date]],2)</f>
        <v>45747</v>
      </c>
      <c r="J9" s="55">
        <f ca="1">MainTable[[#This Row],[collection date]]-TODAY()</f>
        <v>-307</v>
      </c>
      <c r="K9" s="1" t="s">
        <v>41</v>
      </c>
      <c r="S9" s="6">
        <f t="shared" si="0"/>
        <v>120.96000000000001</v>
      </c>
      <c r="T9" s="15" t="s">
        <v>10</v>
      </c>
      <c r="U9" s="1" t="str">
        <f t="shared" si="1"/>
        <v>Good Customer</v>
      </c>
      <c r="V9" s="9">
        <f t="shared" si="2"/>
        <v>0.37435008665511266</v>
      </c>
      <c r="W9" s="29" t="str">
        <f>VLOOKUP(T9, database!$A$2:$B$8,2, FALSE)</f>
        <v>istanbul</v>
      </c>
    </row>
    <row r="10" spans="2:23" x14ac:dyDescent="0.3">
      <c r="B10" s="15" t="s">
        <v>5</v>
      </c>
      <c r="C10" s="7" t="s">
        <v>16</v>
      </c>
      <c r="D10" s="5">
        <v>55</v>
      </c>
      <c r="E10" s="2">
        <v>45662</v>
      </c>
      <c r="F10" s="3">
        <f t="shared" si="3"/>
        <v>54.45</v>
      </c>
      <c r="G10" s="1" t="s">
        <v>17</v>
      </c>
      <c r="H10" s="16">
        <v>0.01</v>
      </c>
      <c r="I10" s="51">
        <f>EOMONTH(MainTable[[#This Row],[Date]],2)</f>
        <v>45747</v>
      </c>
      <c r="J10" s="55">
        <f ca="1">MainTable[[#This Row],[collection date]]-TODAY()</f>
        <v>-307</v>
      </c>
      <c r="K10" s="1" t="s">
        <v>40</v>
      </c>
      <c r="S10" s="6">
        <f t="shared" si="0"/>
        <v>54.45</v>
      </c>
      <c r="T10" s="15" t="s">
        <v>5</v>
      </c>
      <c r="U10" s="1" t="str">
        <f t="shared" si="1"/>
        <v>Normal Customer</v>
      </c>
      <c r="V10" s="9">
        <f t="shared" si="2"/>
        <v>0.26934111594776411</v>
      </c>
      <c r="W10" s="29" t="str">
        <f>VLOOKUP(T10, database!$A$2:$B$8,2, FALSE)</f>
        <v>istanbul</v>
      </c>
    </row>
    <row r="11" spans="2:23" x14ac:dyDescent="0.3">
      <c r="B11" s="15" t="s">
        <v>9</v>
      </c>
      <c r="C11" s="7" t="s">
        <v>13</v>
      </c>
      <c r="D11" s="5">
        <v>45</v>
      </c>
      <c r="E11" s="2">
        <v>45663</v>
      </c>
      <c r="F11" s="3">
        <f t="shared" si="3"/>
        <v>44.55</v>
      </c>
      <c r="G11" s="1" t="s">
        <v>21</v>
      </c>
      <c r="H11" s="17">
        <v>0.01</v>
      </c>
      <c r="I11" s="52">
        <f>EOMONTH(MainTable[[#This Row],[Date]],2)</f>
        <v>45747</v>
      </c>
      <c r="J11" s="56">
        <f ca="1">MainTable[[#This Row],[collection date]]-TODAY()</f>
        <v>-307</v>
      </c>
      <c r="K11" s="1" t="s">
        <v>40</v>
      </c>
      <c r="S11" s="6">
        <f t="shared" si="0"/>
        <v>89.51</v>
      </c>
      <c r="T11" s="15" t="s">
        <v>11</v>
      </c>
      <c r="U11" s="1" t="str">
        <f t="shared" si="1"/>
        <v>Normal Customer</v>
      </c>
      <c r="V11" s="9">
        <f t="shared" si="2"/>
        <v>0.60598469974950919</v>
      </c>
      <c r="W11" s="29" t="str">
        <f>VLOOKUP(T11, database!$A$2:$B$8,2, FALSE)</f>
        <v>london</v>
      </c>
    </row>
    <row r="12" spans="2:23" x14ac:dyDescent="0.3">
      <c r="B12" s="15" t="s">
        <v>10</v>
      </c>
      <c r="C12" s="7" t="s">
        <v>16</v>
      </c>
      <c r="D12" s="5">
        <v>20</v>
      </c>
      <c r="E12" s="2">
        <v>45664</v>
      </c>
      <c r="F12" s="3">
        <f t="shared" si="3"/>
        <v>19.760000000000002</v>
      </c>
      <c r="G12" s="1" t="s">
        <v>17</v>
      </c>
      <c r="H12" s="16">
        <v>1.2E-2</v>
      </c>
      <c r="I12" s="51">
        <f>EOMONTH(MainTable[[#This Row],[Date]],2)</f>
        <v>45747</v>
      </c>
      <c r="J12" s="55">
        <f ca="1">MainTable[[#This Row],[collection date]]-TODAY()</f>
        <v>-307</v>
      </c>
      <c r="K12" s="1" t="s">
        <v>40</v>
      </c>
      <c r="S12" s="32">
        <f t="shared" si="0"/>
        <v>58.2</v>
      </c>
      <c r="T12" s="22" t="s">
        <v>7</v>
      </c>
      <c r="U12" s="1" t="str">
        <f t="shared" si="1"/>
        <v>Normal Customer</v>
      </c>
      <c r="V12" s="9">
        <f t="shared" si="2"/>
        <v>1</v>
      </c>
      <c r="W12" s="29" t="str">
        <f>VLOOKUP(T12, database!$A$2:$B$8,2, FALSE)</f>
        <v>london</v>
      </c>
    </row>
    <row r="13" spans="2:23" x14ac:dyDescent="0.3">
      <c r="B13" s="15" t="s">
        <v>11</v>
      </c>
      <c r="C13" s="7" t="s">
        <v>16</v>
      </c>
      <c r="D13" s="5">
        <v>20</v>
      </c>
      <c r="E13" s="2">
        <v>45665</v>
      </c>
      <c r="F13" s="3">
        <f t="shared" si="3"/>
        <v>19.760000000000002</v>
      </c>
      <c r="G13" s="1" t="s">
        <v>19</v>
      </c>
      <c r="H13" s="16">
        <v>1.2E-2</v>
      </c>
      <c r="I13" s="51">
        <f>EOMONTH(MainTable[[#This Row],[Date]],2)</f>
        <v>45747</v>
      </c>
      <c r="J13" s="55">
        <f ca="1">MainTable[[#This Row],[collection date]]-TODAY()</f>
        <v>-307</v>
      </c>
      <c r="K13" s="1" t="s">
        <v>40</v>
      </c>
    </row>
    <row r="14" spans="2:23" x14ac:dyDescent="0.3">
      <c r="B14" s="15" t="s">
        <v>6</v>
      </c>
      <c r="C14" s="7" t="s">
        <v>13</v>
      </c>
      <c r="D14" s="5">
        <v>150</v>
      </c>
      <c r="E14" s="2">
        <v>45666</v>
      </c>
      <c r="F14" s="3">
        <f t="shared" si="3"/>
        <v>139.5</v>
      </c>
      <c r="G14" s="1" t="s">
        <v>18</v>
      </c>
      <c r="H14" s="16">
        <v>7.0000000000000007E-2</v>
      </c>
      <c r="I14" s="51">
        <f>EOMONTH(MainTable[[#This Row],[Date]],2)</f>
        <v>45747</v>
      </c>
      <c r="J14" s="55">
        <f ca="1">MainTable[[#This Row],[collection date]]-TODAY()</f>
        <v>-307</v>
      </c>
      <c r="K14" s="1" t="s">
        <v>41</v>
      </c>
    </row>
    <row r="15" spans="2:23" x14ac:dyDescent="0.3">
      <c r="B15" s="15" t="s">
        <v>7</v>
      </c>
      <c r="C15" s="7" t="s">
        <v>15</v>
      </c>
      <c r="D15" s="5">
        <v>60</v>
      </c>
      <c r="E15" s="2">
        <v>45667</v>
      </c>
      <c r="F15" s="3">
        <f t="shared" si="3"/>
        <v>58.2</v>
      </c>
      <c r="G15" s="1" t="s">
        <v>19</v>
      </c>
      <c r="H15" s="16">
        <v>0.03</v>
      </c>
      <c r="I15" s="51">
        <f>EOMONTH(MainTable[[#This Row],[Date]],2)</f>
        <v>45747</v>
      </c>
      <c r="J15" s="55">
        <f ca="1">MainTable[[#This Row],[collection date]]-TODAY()</f>
        <v>-307</v>
      </c>
      <c r="K15" s="1" t="s">
        <v>40</v>
      </c>
    </row>
    <row r="16" spans="2:23" x14ac:dyDescent="0.3">
      <c r="B16" s="15" t="s">
        <v>9</v>
      </c>
      <c r="C16" s="7" t="s">
        <v>15</v>
      </c>
      <c r="D16" s="5">
        <v>150</v>
      </c>
      <c r="E16" s="2">
        <v>45668</v>
      </c>
      <c r="F16" s="3">
        <f t="shared" si="3"/>
        <v>135</v>
      </c>
      <c r="G16" s="1" t="s">
        <v>26</v>
      </c>
      <c r="H16" s="16">
        <v>0.1</v>
      </c>
      <c r="I16" s="51">
        <f>EOMONTH(MainTable[[#This Row],[Date]],2)</f>
        <v>45747</v>
      </c>
      <c r="J16" s="55">
        <f ca="1">MainTable[[#This Row],[collection date]]-TODAY()</f>
        <v>-307</v>
      </c>
      <c r="K16" s="1" t="s">
        <v>40</v>
      </c>
    </row>
    <row r="17" spans="1:11" x14ac:dyDescent="0.3">
      <c r="B17" s="15" t="s">
        <v>8</v>
      </c>
      <c r="C17" s="7" t="s">
        <v>14</v>
      </c>
      <c r="D17" s="5">
        <v>35</v>
      </c>
      <c r="E17" s="2">
        <v>45669</v>
      </c>
      <c r="F17" s="3">
        <f t="shared" si="3"/>
        <v>33.6</v>
      </c>
      <c r="G17" s="1" t="s">
        <v>20</v>
      </c>
      <c r="H17" s="16">
        <v>0.04</v>
      </c>
      <c r="I17" s="51">
        <f>EOMONTH(MainTable[[#This Row],[Date]],2)</f>
        <v>45747</v>
      </c>
      <c r="J17" s="55">
        <f ca="1">MainTable[[#This Row],[collection date]]-TODAY()</f>
        <v>-307</v>
      </c>
      <c r="K17" s="1" t="s">
        <v>41</v>
      </c>
    </row>
    <row r="18" spans="1:11" x14ac:dyDescent="0.3">
      <c r="B18" s="15" t="s">
        <v>11</v>
      </c>
      <c r="C18" s="7" t="s">
        <v>13</v>
      </c>
      <c r="D18" s="5">
        <v>75</v>
      </c>
      <c r="E18" s="2">
        <v>45670</v>
      </c>
      <c r="F18" s="3">
        <f t="shared" si="3"/>
        <v>69.75</v>
      </c>
      <c r="G18" s="1" t="s">
        <v>19</v>
      </c>
      <c r="H18" s="16">
        <v>7.0000000000000007E-2</v>
      </c>
      <c r="I18" s="51">
        <f>EOMONTH(MainTable[[#This Row],[Date]],2)</f>
        <v>45747</v>
      </c>
      <c r="J18" s="55">
        <f ca="1">MainTable[[#This Row],[collection date]]-TODAY()</f>
        <v>-307</v>
      </c>
      <c r="K18" s="1" t="s">
        <v>41</v>
      </c>
    </row>
    <row r="19" spans="1:11" x14ac:dyDescent="0.3">
      <c r="B19" s="22" t="s">
        <v>10</v>
      </c>
      <c r="C19" s="23" t="s">
        <v>13</v>
      </c>
      <c r="D19" s="24">
        <v>110</v>
      </c>
      <c r="E19" s="25">
        <v>45671</v>
      </c>
      <c r="F19" s="26">
        <f t="shared" si="3"/>
        <v>101.2</v>
      </c>
      <c r="G19" s="27" t="s">
        <v>17</v>
      </c>
      <c r="H19" s="28">
        <v>0.08</v>
      </c>
      <c r="I19" s="53">
        <f>EOMONTH(MainTable[[#This Row],[Date]],2)</f>
        <v>45747</v>
      </c>
      <c r="J19" s="57">
        <f ca="1">MainTable[[#This Row],[collection date]]-TODAY()</f>
        <v>-307</v>
      </c>
      <c r="K19" s="1" t="s">
        <v>41</v>
      </c>
    </row>
    <row r="20" spans="1:11" x14ac:dyDescent="0.3">
      <c r="A20" t="s">
        <v>30</v>
      </c>
      <c r="D20" s="12">
        <f>SUBTOTAL(109,D6:D19)</f>
        <v>1060</v>
      </c>
      <c r="F20" s="10">
        <f>SUBTOTAL(109,F6:F19)</f>
        <v>998.47000000000014</v>
      </c>
      <c r="H20" s="11">
        <f>SUBTOTAL(109,H6:H19)</f>
        <v>0.59399999999999997</v>
      </c>
      <c r="I20" s="11"/>
      <c r="J20" s="11"/>
    </row>
  </sheetData>
  <mergeCells count="2">
    <mergeCell ref="S2:W3"/>
    <mergeCell ref="B2:K3"/>
  </mergeCells>
  <dataValidations count="1">
    <dataValidation type="list" allowBlank="1" showInputMessage="1" showErrorMessage="1" sqref="M5:M7" xr:uid="{79F3AD8C-7C20-4C6F-B6D0-D7620D8C71F2}">
      <formula1>$B$6:$B$19</formula1>
    </dataValidation>
  </dataValidations>
  <pageMargins left="0.7" right="0.7" top="0.75" bottom="0.75" header="0.3" footer="0.3"/>
  <tableParts count="3">
    <tablePart r:id="rId1"/>
    <tablePart r:id="rId2"/>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119D23F9-902B-4472-9399-DBC319D07D04}">
          <x14:formula1>
            <xm:f>database!$G$3:$G$4</xm:f>
          </x14:formula1>
          <xm:sqref>K6:K26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44D0D-669F-41C4-98CA-A52EF20DC41C}">
  <sheetPr>
    <tabColor theme="8"/>
  </sheetPr>
  <dimension ref="A2:B5"/>
  <sheetViews>
    <sheetView rightToLeft="1" workbookViewId="0">
      <selection activeCell="B4" sqref="B4"/>
    </sheetView>
  </sheetViews>
  <sheetFormatPr defaultRowHeight="14.4" x14ac:dyDescent="0.3"/>
  <cols>
    <col min="1" max="1" width="12.44140625" bestFit="1" customWidth="1"/>
    <col min="2" max="2" width="15" bestFit="1" customWidth="1"/>
  </cols>
  <sheetData>
    <row r="2" spans="1:2" x14ac:dyDescent="0.3">
      <c r="A2" s="13" t="s">
        <v>31</v>
      </c>
      <c r="B2" t="s">
        <v>42</v>
      </c>
    </row>
    <row r="3" spans="1:2" x14ac:dyDescent="0.3">
      <c r="A3" s="33" t="s">
        <v>5</v>
      </c>
      <c r="B3">
        <v>149.44999999999999</v>
      </c>
    </row>
    <row r="4" spans="1:2" x14ac:dyDescent="0.3">
      <c r="A4" s="33" t="s">
        <v>10</v>
      </c>
      <c r="B4">
        <v>120.96</v>
      </c>
    </row>
    <row r="5" spans="1:2" x14ac:dyDescent="0.3">
      <c r="A5" s="33" t="s">
        <v>32</v>
      </c>
      <c r="B5">
        <v>270.41000000000003</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AB0CA-4049-4EAC-8D81-3BC71EE3D6EC}">
  <sheetPr>
    <tabColor theme="7"/>
  </sheetPr>
  <dimension ref="A2:L19"/>
  <sheetViews>
    <sheetView rightToLeft="1" workbookViewId="0">
      <selection activeCell="K8" sqref="K8"/>
    </sheetView>
  </sheetViews>
  <sheetFormatPr defaultRowHeight="14.4" x14ac:dyDescent="0.3"/>
  <cols>
    <col min="1" max="1" width="15.33203125" bestFit="1" customWidth="1"/>
    <col min="2" max="2" width="15" bestFit="1" customWidth="1"/>
  </cols>
  <sheetData>
    <row r="2" spans="1:12" x14ac:dyDescent="0.3">
      <c r="A2" s="13" t="s">
        <v>31</v>
      </c>
      <c r="B2" t="s">
        <v>42</v>
      </c>
      <c r="J2" s="40"/>
      <c r="K2" s="41"/>
      <c r="L2" s="42"/>
    </row>
    <row r="3" spans="1:12" x14ac:dyDescent="0.3">
      <c r="A3" s="33" t="s">
        <v>34</v>
      </c>
      <c r="B3">
        <v>120.96</v>
      </c>
      <c r="J3" s="43"/>
      <c r="K3" s="44"/>
      <c r="L3" s="45"/>
    </row>
    <row r="4" spans="1:12" x14ac:dyDescent="0.3">
      <c r="A4" s="33" t="s">
        <v>35</v>
      </c>
      <c r="B4">
        <v>149.44999999999999</v>
      </c>
      <c r="J4" s="43"/>
      <c r="K4" s="44"/>
      <c r="L4" s="45"/>
    </row>
    <row r="5" spans="1:12" x14ac:dyDescent="0.3">
      <c r="A5" s="33" t="s">
        <v>32</v>
      </c>
      <c r="B5">
        <v>270.41000000000003</v>
      </c>
      <c r="J5" s="43"/>
      <c r="K5" s="44"/>
      <c r="L5" s="45"/>
    </row>
    <row r="6" spans="1:12" x14ac:dyDescent="0.3">
      <c r="J6" s="43"/>
      <c r="K6" s="44"/>
      <c r="L6" s="45"/>
    </row>
    <row r="7" spans="1:12" x14ac:dyDescent="0.3">
      <c r="J7" s="43"/>
      <c r="K7" s="44"/>
      <c r="L7" s="45"/>
    </row>
    <row r="8" spans="1:12" x14ac:dyDescent="0.3">
      <c r="J8" s="43"/>
      <c r="K8" s="44"/>
      <c r="L8" s="45"/>
    </row>
    <row r="9" spans="1:12" x14ac:dyDescent="0.3">
      <c r="J9" s="43"/>
      <c r="K9" s="44"/>
      <c r="L9" s="45"/>
    </row>
    <row r="10" spans="1:12" x14ac:dyDescent="0.3">
      <c r="J10" s="43"/>
      <c r="K10" s="44"/>
      <c r="L10" s="45"/>
    </row>
    <row r="11" spans="1:12" x14ac:dyDescent="0.3">
      <c r="J11" s="43"/>
      <c r="K11" s="44"/>
      <c r="L11" s="45"/>
    </row>
    <row r="12" spans="1:12" x14ac:dyDescent="0.3">
      <c r="J12" s="43"/>
      <c r="K12" s="44"/>
      <c r="L12" s="45"/>
    </row>
    <row r="13" spans="1:12" x14ac:dyDescent="0.3">
      <c r="J13" s="43"/>
      <c r="K13" s="44"/>
      <c r="L13" s="45"/>
    </row>
    <row r="14" spans="1:12" x14ac:dyDescent="0.3">
      <c r="J14" s="43"/>
      <c r="K14" s="44"/>
      <c r="L14" s="45"/>
    </row>
    <row r="15" spans="1:12" x14ac:dyDescent="0.3">
      <c r="J15" s="43"/>
      <c r="K15" s="44"/>
      <c r="L15" s="45"/>
    </row>
    <row r="16" spans="1:12" x14ac:dyDescent="0.3">
      <c r="J16" s="43"/>
      <c r="K16" s="44"/>
      <c r="L16" s="45"/>
    </row>
    <row r="17" spans="10:12" x14ac:dyDescent="0.3">
      <c r="J17" s="43"/>
      <c r="K17" s="44"/>
      <c r="L17" s="45"/>
    </row>
    <row r="18" spans="10:12" x14ac:dyDescent="0.3">
      <c r="J18" s="43"/>
      <c r="K18" s="44"/>
      <c r="L18" s="45"/>
    </row>
    <row r="19" spans="10:12" x14ac:dyDescent="0.3">
      <c r="J19" s="46"/>
      <c r="K19" s="47"/>
      <c r="L19" s="48"/>
    </row>
  </sheetData>
  <pageMargins left="0.7" right="0.7" top="0.75" bottom="0.75" header="0.3" footer="0.3"/>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9C241-9966-4E5B-B6E6-3AF07BA87710}">
  <sheetPr>
    <tabColor theme="5" tint="-0.499984740745262"/>
  </sheetPr>
  <dimension ref="A1"/>
  <sheetViews>
    <sheetView showGridLines="0" rightToLeft="1" zoomScale="65" zoomScaleNormal="65" workbookViewId="0">
      <selection activeCell="AA15" sqref="AA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DE957-563D-4DE9-A97D-5073927B0AD2}">
  <sheetPr>
    <tabColor theme="1" tint="4.9989318521683403E-2"/>
  </sheetPr>
  <dimension ref="A2:B6"/>
  <sheetViews>
    <sheetView rightToLeft="1" workbookViewId="0">
      <selection activeCell="B3" sqref="B3"/>
    </sheetView>
  </sheetViews>
  <sheetFormatPr defaultRowHeight="14.4" x14ac:dyDescent="0.3"/>
  <cols>
    <col min="1" max="1" width="12.44140625" bestFit="1" customWidth="1"/>
    <col min="2" max="2" width="15" bestFit="1" customWidth="1"/>
  </cols>
  <sheetData>
    <row r="2" spans="1:2" x14ac:dyDescent="0.3">
      <c r="A2" s="13" t="s">
        <v>31</v>
      </c>
      <c r="B2" t="s">
        <v>42</v>
      </c>
    </row>
    <row r="3" spans="1:2" x14ac:dyDescent="0.3">
      <c r="A3" s="33" t="s">
        <v>17</v>
      </c>
    </row>
    <row r="4" spans="1:2" x14ac:dyDescent="0.3">
      <c r="A4" s="34" t="s">
        <v>5</v>
      </c>
      <c r="B4">
        <v>149.44999999999999</v>
      </c>
    </row>
    <row r="5" spans="1:2" x14ac:dyDescent="0.3">
      <c r="A5" s="34" t="s">
        <v>10</v>
      </c>
      <c r="B5">
        <v>120.96</v>
      </c>
    </row>
    <row r="6" spans="1:2" x14ac:dyDescent="0.3">
      <c r="A6" s="33" t="s">
        <v>32</v>
      </c>
      <c r="B6">
        <v>270.41000000000003</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A6998-E98E-4FAA-93FA-655A3460D80F}">
  <sheetPr>
    <tabColor rgb="FFFF0000"/>
  </sheetPr>
  <dimension ref="A2:B5"/>
  <sheetViews>
    <sheetView rightToLeft="1" workbookViewId="0">
      <selection activeCell="B4" sqref="B4"/>
    </sheetView>
  </sheetViews>
  <sheetFormatPr defaultRowHeight="14.4" x14ac:dyDescent="0.3"/>
  <cols>
    <col min="1" max="1" width="12.44140625" bestFit="1" customWidth="1"/>
    <col min="2" max="2" width="15" bestFit="1" customWidth="1"/>
  </cols>
  <sheetData>
    <row r="2" spans="1:2" x14ac:dyDescent="0.3">
      <c r="A2" s="13" t="s">
        <v>31</v>
      </c>
      <c r="B2" t="s">
        <v>42</v>
      </c>
    </row>
    <row r="3" spans="1:2" x14ac:dyDescent="0.3">
      <c r="A3" s="33" t="s">
        <v>41</v>
      </c>
      <c r="B3">
        <v>101.2</v>
      </c>
    </row>
    <row r="4" spans="1:2" x14ac:dyDescent="0.3">
      <c r="A4" s="33" t="s">
        <v>40</v>
      </c>
      <c r="B4">
        <v>169.21</v>
      </c>
    </row>
    <row r="5" spans="1:2" x14ac:dyDescent="0.3">
      <c r="A5" s="33" t="s">
        <v>32</v>
      </c>
      <c r="B5">
        <v>270.41000000000003</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FAD1-B9CF-474A-AB2F-8243B9232119}">
  <sheetPr>
    <tabColor rgb="FF002060"/>
  </sheetPr>
  <dimension ref="A2:B7"/>
  <sheetViews>
    <sheetView rightToLeft="1" workbookViewId="0">
      <selection activeCell="B7" sqref="B7"/>
    </sheetView>
  </sheetViews>
  <sheetFormatPr defaultRowHeight="14.4" x14ac:dyDescent="0.3"/>
  <cols>
    <col min="1" max="1" width="12.44140625" bestFit="1" customWidth="1"/>
    <col min="2" max="2" width="15" bestFit="1" customWidth="1"/>
    <col min="3" max="14" width="15.5546875" bestFit="1" customWidth="1"/>
    <col min="15" max="15" width="10.5546875" bestFit="1" customWidth="1"/>
  </cols>
  <sheetData>
    <row r="2" spans="1:2" x14ac:dyDescent="0.3">
      <c r="A2" s="13" t="s">
        <v>31</v>
      </c>
      <c r="B2" t="s">
        <v>42</v>
      </c>
    </row>
    <row r="3" spans="1:2" x14ac:dyDescent="0.3">
      <c r="A3" s="49">
        <v>45658</v>
      </c>
      <c r="B3">
        <v>95</v>
      </c>
    </row>
    <row r="4" spans="1:2" x14ac:dyDescent="0.3">
      <c r="A4" s="49">
        <v>45662</v>
      </c>
      <c r="B4">
        <v>54.45</v>
      </c>
    </row>
    <row r="5" spans="1:2" x14ac:dyDescent="0.3">
      <c r="A5" s="49">
        <v>45664</v>
      </c>
      <c r="B5">
        <v>19.760000000000002</v>
      </c>
    </row>
    <row r="6" spans="1:2" x14ac:dyDescent="0.3">
      <c r="A6" s="49">
        <v>45671</v>
      </c>
      <c r="B6">
        <v>101.2</v>
      </c>
    </row>
    <row r="7" spans="1:2" x14ac:dyDescent="0.3">
      <c r="A7" s="33" t="s">
        <v>32</v>
      </c>
      <c r="B7">
        <v>270.41000000000003</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130B4-A122-4A12-9235-E0285F509393}">
  <sheetPr>
    <tabColor rgb="FFFFFF00"/>
  </sheetPr>
  <dimension ref="A1:C50"/>
  <sheetViews>
    <sheetView rightToLeft="1" workbookViewId="0">
      <selection activeCell="D1" sqref="D1"/>
    </sheetView>
  </sheetViews>
  <sheetFormatPr defaultRowHeight="14.4" x14ac:dyDescent="0.3"/>
  <cols>
    <col min="1" max="1" width="13" bestFit="1" customWidth="1"/>
    <col min="2" max="2" width="14.6640625" bestFit="1" customWidth="1"/>
    <col min="3" max="3" width="23.21875" bestFit="1" customWidth="1"/>
    <col min="4" max="10" width="9.109375" bestFit="1" customWidth="1"/>
    <col min="11" max="15" width="10.109375" bestFit="1" customWidth="1"/>
    <col min="16" max="16" width="10.5546875" bestFit="1" customWidth="1"/>
    <col min="17" max="17" width="15" bestFit="1" customWidth="1"/>
    <col min="18" max="18" width="14.6640625" bestFit="1" customWidth="1"/>
    <col min="19" max="19" width="15" bestFit="1" customWidth="1"/>
    <col min="20" max="20" width="14.6640625" bestFit="1" customWidth="1"/>
    <col min="21" max="21" width="15" bestFit="1" customWidth="1"/>
    <col min="22" max="22" width="14.6640625" bestFit="1" customWidth="1"/>
    <col min="23" max="23" width="15" bestFit="1" customWidth="1"/>
    <col min="24" max="24" width="14.6640625" bestFit="1" customWidth="1"/>
    <col min="25" max="25" width="15" bestFit="1" customWidth="1"/>
    <col min="26" max="26" width="14.6640625" bestFit="1" customWidth="1"/>
    <col min="27" max="27" width="15" bestFit="1" customWidth="1"/>
    <col min="28" max="28" width="14.6640625" bestFit="1" customWidth="1"/>
    <col min="29" max="29" width="15" bestFit="1" customWidth="1"/>
    <col min="30" max="30" width="19.21875" bestFit="1" customWidth="1"/>
    <col min="31" max="31" width="19.5546875" bestFit="1" customWidth="1"/>
    <col min="32" max="32" width="14.6640625" bestFit="1" customWidth="1"/>
    <col min="33" max="33" width="15" bestFit="1" customWidth="1"/>
    <col min="34" max="34" width="12.5546875" bestFit="1" customWidth="1"/>
    <col min="35" max="35" width="14.6640625" bestFit="1" customWidth="1"/>
    <col min="36" max="36" width="15" bestFit="1" customWidth="1"/>
    <col min="37" max="37" width="12.5546875" bestFit="1" customWidth="1"/>
    <col min="38" max="38" width="14.6640625" bestFit="1" customWidth="1"/>
    <col min="39" max="39" width="15" bestFit="1" customWidth="1"/>
    <col min="40" max="40" width="12.5546875" bestFit="1" customWidth="1"/>
    <col min="41" max="41" width="14.6640625" bestFit="1" customWidth="1"/>
    <col min="42" max="42" width="15" bestFit="1" customWidth="1"/>
    <col min="43" max="43" width="12.5546875" bestFit="1" customWidth="1"/>
    <col min="44" max="44" width="19.21875" bestFit="1" customWidth="1"/>
    <col min="45" max="45" width="19.5546875" bestFit="1" customWidth="1"/>
    <col min="46" max="46" width="17.21875" bestFit="1" customWidth="1"/>
  </cols>
  <sheetData>
    <row r="1" spans="1:2" x14ac:dyDescent="0.3">
      <c r="A1" s="13" t="s">
        <v>31</v>
      </c>
      <c r="B1" t="s">
        <v>37</v>
      </c>
    </row>
    <row r="2" spans="1:2" x14ac:dyDescent="0.3">
      <c r="A2" s="33" t="s">
        <v>11</v>
      </c>
    </row>
    <row r="3" spans="1:2" x14ac:dyDescent="0.3">
      <c r="A3" s="34" t="s">
        <v>13</v>
      </c>
      <c r="B3">
        <v>75</v>
      </c>
    </row>
    <row r="4" spans="1:2" x14ac:dyDescent="0.3">
      <c r="A4" s="34" t="s">
        <v>16</v>
      </c>
      <c r="B4">
        <v>20</v>
      </c>
    </row>
    <row r="5" spans="1:2" x14ac:dyDescent="0.3">
      <c r="A5" s="33" t="s">
        <v>32</v>
      </c>
      <c r="B5">
        <v>95</v>
      </c>
    </row>
    <row r="46" spans="1:3" x14ac:dyDescent="0.3">
      <c r="A46" s="13" t="s">
        <v>31</v>
      </c>
      <c r="B46" t="s">
        <v>33</v>
      </c>
      <c r="C46" t="s">
        <v>38</v>
      </c>
    </row>
    <row r="47" spans="1:3" x14ac:dyDescent="0.3">
      <c r="A47" s="33" t="s">
        <v>11</v>
      </c>
    </row>
    <row r="48" spans="1:3" x14ac:dyDescent="0.3">
      <c r="A48" s="34" t="s">
        <v>35</v>
      </c>
    </row>
    <row r="49" spans="1:3" x14ac:dyDescent="0.3">
      <c r="A49" s="35" t="s">
        <v>19</v>
      </c>
      <c r="B49">
        <v>89.51</v>
      </c>
      <c r="C49">
        <v>0.60598469974950919</v>
      </c>
    </row>
    <row r="50" spans="1:3" x14ac:dyDescent="0.3">
      <c r="A50" s="33" t="s">
        <v>32</v>
      </c>
      <c r="B50">
        <v>89.51</v>
      </c>
      <c r="C50">
        <v>0.60598469974950919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EC705-8029-40BB-8979-1504C868C770}">
  <dimension ref="A1:G8"/>
  <sheetViews>
    <sheetView rightToLeft="1" workbookViewId="0">
      <selection activeCell="G6" sqref="G6"/>
    </sheetView>
  </sheetViews>
  <sheetFormatPr defaultRowHeight="14.4" x14ac:dyDescent="0.3"/>
  <cols>
    <col min="1" max="1" width="11.21875" customWidth="1"/>
    <col min="2" max="2" width="10.88671875" customWidth="1"/>
    <col min="5" max="5" width="11.109375" bestFit="1" customWidth="1"/>
    <col min="7" max="7" width="15.5546875" bestFit="1" customWidth="1"/>
  </cols>
  <sheetData>
    <row r="1" spans="1:7" x14ac:dyDescent="0.3">
      <c r="A1" s="8" t="s">
        <v>27</v>
      </c>
      <c r="B1" s="8" t="s">
        <v>4</v>
      </c>
    </row>
    <row r="2" spans="1:7" x14ac:dyDescent="0.3">
      <c r="A2" s="1" t="s">
        <v>5</v>
      </c>
      <c r="B2" s="1" t="s">
        <v>17</v>
      </c>
      <c r="E2" s="58" t="s">
        <v>45</v>
      </c>
      <c r="G2" s="59" t="s">
        <v>39</v>
      </c>
    </row>
    <row r="3" spans="1:7" x14ac:dyDescent="0.3">
      <c r="A3" s="1" t="s">
        <v>7</v>
      </c>
      <c r="B3" s="1" t="s">
        <v>19</v>
      </c>
      <c r="E3" s="1" t="s">
        <v>13</v>
      </c>
      <c r="G3" s="1" t="s">
        <v>40</v>
      </c>
    </row>
    <row r="4" spans="1:7" x14ac:dyDescent="0.3">
      <c r="A4" s="1" t="s">
        <v>8</v>
      </c>
      <c r="B4" s="1" t="s">
        <v>20</v>
      </c>
      <c r="E4" s="1" t="s">
        <v>14</v>
      </c>
      <c r="G4" s="1" t="s">
        <v>41</v>
      </c>
    </row>
    <row r="5" spans="1:7" x14ac:dyDescent="0.3">
      <c r="A5" s="1" t="s">
        <v>10</v>
      </c>
      <c r="B5" s="1" t="s">
        <v>17</v>
      </c>
      <c r="E5" s="1" t="s">
        <v>15</v>
      </c>
    </row>
    <row r="6" spans="1:7" x14ac:dyDescent="0.3">
      <c r="A6" s="1" t="s">
        <v>11</v>
      </c>
      <c r="B6" s="1" t="s">
        <v>19</v>
      </c>
      <c r="E6" s="1" t="s">
        <v>16</v>
      </c>
    </row>
    <row r="7" spans="1:7" x14ac:dyDescent="0.3">
      <c r="A7" s="1" t="s">
        <v>9</v>
      </c>
      <c r="B7" s="1" t="s">
        <v>26</v>
      </c>
    </row>
    <row r="8" spans="1:7" x14ac:dyDescent="0.3">
      <c r="A8" s="1" t="s">
        <v>6</v>
      </c>
      <c r="B8"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vt:i4>
      </vt:variant>
    </vt:vector>
  </HeadingPairs>
  <TitlesOfParts>
    <vt:vector size="23" baseType="lpstr">
      <vt:lpstr>Sheet2</vt:lpstr>
      <vt:lpstr>dania</vt:lpstr>
      <vt:lpstr>fadel</vt:lpstr>
      <vt:lpstr>lama</vt:lpstr>
      <vt:lpstr>lana</vt:lpstr>
      <vt:lpstr>mazen</vt:lpstr>
      <vt:lpstr>mert</vt:lpstr>
      <vt:lpstr>rania</vt:lpstr>
      <vt:lpstr>Detail1</vt:lpstr>
      <vt:lpstr>Detail3</vt:lpstr>
      <vt:lpstr>Detail2</vt:lpstr>
      <vt:lpstr>Detail4</vt:lpstr>
      <vt:lpstr>Sheet3</vt:lpstr>
      <vt:lpstr>Sheet1</vt:lpstr>
      <vt:lpstr>sales of customers</vt:lpstr>
      <vt:lpstr>sales by customers types</vt:lpstr>
      <vt:lpstr>control </vt:lpstr>
      <vt:lpstr>sales by city</vt:lpstr>
      <vt:lpstr>sales by the jewelry</vt:lpstr>
      <vt:lpstr>trend by the sales</vt:lpstr>
      <vt:lpstr>pivot tables</vt:lpstr>
      <vt:lpstr>database</vt:lpstr>
      <vt:lpstr>Sheet1!Extract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77300</dc:creator>
  <cp:lastModifiedBy>77300</cp:lastModifiedBy>
  <dcterms:created xsi:type="dcterms:W3CDTF">2026-01-14T20:26:16Z</dcterms:created>
  <dcterms:modified xsi:type="dcterms:W3CDTF">2026-02-01T00:54:46Z</dcterms:modified>
</cp:coreProperties>
</file>