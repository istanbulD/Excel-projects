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slicers/slicer1.xml" ContentType="application/vnd.ms-excel.slicer+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Acer\Documents\"/>
    </mc:Choice>
  </mc:AlternateContent>
  <xr:revisionPtr revIDLastSave="0" documentId="13_ncr:1_{51A567E9-5CF4-454E-B019-7E9DC4EA3618}" xr6:coauthVersionLast="47" xr6:coauthVersionMax="47" xr10:uidLastSave="{00000000-0000-0000-0000-000000000000}"/>
  <bookViews>
    <workbookView xWindow="-108" yWindow="-108" windowWidth="23256" windowHeight="12456" activeTab="1" xr2:uid="{BB20E732-8C3B-43B4-BAD0-F779C01A3ABF}"/>
  </bookViews>
  <sheets>
    <sheet name="PİVOT TABLE" sheetId="5" r:id="rId1"/>
    <sheet name="Customer-Search-Profile" sheetId="6" r:id="rId2"/>
    <sheet name="MAINE PAGE" sheetId="1" r:id="rId3"/>
    <sheet name="Dashboard" sheetId="2" r:id="rId4"/>
    <sheet name="DataBase" sheetId="3" r:id="rId5"/>
  </sheets>
  <definedNames>
    <definedName name="Slicer_Hesap_Türü">#N/A</definedName>
    <definedName name="Slicer_Müşteri_Adı_Soyadı">#N/A</definedName>
  </definedNames>
  <calcPr calcId="191029"/>
  <pivotCaches>
    <pivotCache cacheId="0" r:id="rId6"/>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4:slicerCache r:id="rId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6" l="1" a="1"/>
  <c r="B6" i="6" s="1"/>
  <c r="G5" i="3" l="1" a="1"/>
  <c r="G5" i="3" s="1"/>
  <c r="H5" i="3" a="1"/>
  <c r="H5" i="3" s="1"/>
  <c r="C4" i="3" a="1"/>
  <c r="C4" i="3" s="1"/>
  <c r="D4" i="3" a="1"/>
  <c r="D4" i="3" s="1"/>
  <c r="E5" i="2"/>
  <c r="F5" i="2"/>
  <c r="T5" i="2"/>
  <c r="S5" i="2"/>
  <c r="O8" i="1" l="1"/>
  <c r="P8" i="1" s="1"/>
  <c r="O6" i="1"/>
  <c r="P6" i="1" s="1"/>
  <c r="O7" i="1"/>
  <c r="P7" i="1" s="1"/>
  <c r="O9" i="1"/>
  <c r="P9" i="1" s="1"/>
  <c r="O10" i="1"/>
  <c r="P10" i="1" s="1"/>
  <c r="O11" i="1"/>
  <c r="P11" i="1" s="1"/>
  <c r="O12" i="1"/>
  <c r="P12" i="1" s="1"/>
  <c r="O13" i="1"/>
  <c r="P13" i="1" s="1"/>
  <c r="O14" i="1"/>
  <c r="P14" i="1" s="1"/>
  <c r="O15" i="1"/>
  <c r="P15" i="1" s="1"/>
  <c r="O16" i="1"/>
  <c r="P16" i="1" s="1"/>
  <c r="O17" i="1"/>
  <c r="P17" i="1" s="1"/>
  <c r="O18" i="1"/>
  <c r="P18" i="1" s="1"/>
  <c r="O19" i="1"/>
  <c r="P19" i="1" s="1"/>
  <c r="O20" i="1"/>
  <c r="P20" i="1" s="1"/>
  <c r="O21" i="1"/>
  <c r="P21" i="1" s="1"/>
  <c r="O22" i="1"/>
  <c r="P22" i="1" s="1"/>
  <c r="O23" i="1"/>
  <c r="P23" i="1" s="1"/>
  <c r="O24" i="1"/>
  <c r="P24" i="1" s="1"/>
  <c r="O25" i="1"/>
  <c r="P25" i="1" s="1"/>
  <c r="O26" i="1"/>
  <c r="P26" i="1" s="1"/>
  <c r="O27" i="1"/>
  <c r="P27" i="1" s="1"/>
  <c r="O28" i="1"/>
  <c r="P28" i="1" s="1"/>
  <c r="O29" i="1"/>
  <c r="P29" i="1" s="1"/>
  <c r="O30" i="1"/>
  <c r="P30" i="1" s="1"/>
  <c r="O31" i="1"/>
  <c r="P31" i="1" s="1"/>
  <c r="O32" i="1"/>
  <c r="P32" i="1" s="1"/>
  <c r="O33" i="1"/>
  <c r="P33" i="1" s="1"/>
  <c r="O34" i="1"/>
  <c r="P34" i="1" s="1"/>
  <c r="O35" i="1"/>
  <c r="P35" i="1" s="1"/>
  <c r="O36"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<sst xmlns="http://schemas.openxmlformats.org/spreadsheetml/2006/main" count="218" uniqueCount="66">
  <si>
    <t>ahmad khaled</t>
  </si>
  <si>
    <t>dania sayed</t>
  </si>
  <si>
    <t>lana khalaf</t>
  </si>
  <si>
    <t>mohammad ali</t>
  </si>
  <si>
    <t>dalia samar</t>
  </si>
  <si>
    <t>sami harb</t>
  </si>
  <si>
    <t>samra dahab</t>
  </si>
  <si>
    <t>özge erdoğan</t>
  </si>
  <si>
    <t>tuğba demir</t>
  </si>
  <si>
    <t>cihan yılmaz</t>
  </si>
  <si>
    <t>ali aslan</t>
  </si>
  <si>
    <t>merve çavdar</t>
  </si>
  <si>
    <t>melisa kaya</t>
  </si>
  <si>
    <t>eyüp kaya</t>
  </si>
  <si>
    <t>yılmaz ögün</t>
  </si>
  <si>
    <t>tolga aslan</t>
  </si>
  <si>
    <t>levent demir</t>
  </si>
  <si>
    <t>sevda tekin</t>
  </si>
  <si>
    <t>şerife üsttün</t>
  </si>
  <si>
    <t>başak kader</t>
  </si>
  <si>
    <t>cihad eren</t>
  </si>
  <si>
    <t>batuhan duran</t>
  </si>
  <si>
    <t>taha alfiza</t>
  </si>
  <si>
    <t>emer arslan</t>
  </si>
  <si>
    <t>kübra akarsu</t>
  </si>
  <si>
    <t>burcu buzdoğan</t>
  </si>
  <si>
    <t>irem teber</t>
  </si>
  <si>
    <t>yakup teber</t>
  </si>
  <si>
    <t>yusuf doğan</t>
  </si>
  <si>
    <t>ömer doğan</t>
  </si>
  <si>
    <t>Birikim</t>
  </si>
  <si>
    <t>Vadesiz</t>
  </si>
  <si>
    <t>Hesap Türü</t>
  </si>
  <si>
    <t>Müşteri Adı Soyadı</t>
  </si>
  <si>
    <t>Müşteri Numarası</t>
  </si>
  <si>
    <t>Önceki Bakiye</t>
  </si>
  <si>
    <t>Toplam Yartılan</t>
  </si>
  <si>
    <t>Toplam Çekilen</t>
  </si>
  <si>
    <t>Güncel Bakiye</t>
  </si>
  <si>
    <t>Hesap Durumu</t>
  </si>
  <si>
    <t>Para Birimi</t>
  </si>
  <si>
    <t>TL</t>
  </si>
  <si>
    <t>Birikim Sayısı</t>
  </si>
  <si>
    <t>Vadesiz  Sayısı</t>
  </si>
  <si>
    <t>Vadesiz Toplamı</t>
  </si>
  <si>
    <t>Birikim Toplamı</t>
  </si>
  <si>
    <t>Müşteri No</t>
  </si>
  <si>
    <t>Müşteri  Adı</t>
  </si>
  <si>
    <t>Vadesiz Hesapların listesi</t>
  </si>
  <si>
    <t>Birikim Hesapların listesi</t>
  </si>
  <si>
    <t>MÜŞTERİ BANKA HESAPLARI</t>
  </si>
  <si>
    <t>Row Labels</t>
  </si>
  <si>
    <t>Grand Total</t>
  </si>
  <si>
    <t>Aktif</t>
  </si>
  <si>
    <t>Sum of Güncel Bakiye</t>
  </si>
  <si>
    <t>Sum of Önceki Bakiye</t>
  </si>
  <si>
    <t>Sum of Toplam Yartılan</t>
  </si>
  <si>
    <t>Column Labels</t>
  </si>
  <si>
    <t>(All)</t>
  </si>
  <si>
    <t>Total Sum of Toplam Yartılan</t>
  </si>
  <si>
    <t>Total Sum of Önceki Bakiye</t>
  </si>
  <si>
    <t>Total Sum of Güncel Bakiye</t>
  </si>
  <si>
    <t>BANKA HESAP ANALİZ PANELİ</t>
  </si>
  <si>
    <t>Müşteri No :</t>
  </si>
  <si>
    <t>Müşteri Adı soyadı :</t>
  </si>
  <si>
    <t>MÜŞTERİ HESAPLARININ ANALİZİ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</si>
</sst>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charset val="162"/>
      <scheme val="minor"/>
    </font>
    <font>
      <sz val="11"/>
      <color theme="0"/>
      <name val="Aptos Narrow"/>
      <family val="2"/>
      <charset val="162"/>
      <scheme val="minor"/>
    </font>
    <font>
      <sz val="11"/>
      <color theme="1"/>
      <name val="Aptos Narrow"/>
      <family val="2"/>
      <scheme val="minor"/>
    </font>
    <font>
      <sz val="18"/>
      <color theme="3" tint="0.249977111117893"/>
      <name val="Aptos Narrow"/>
      <family val="2"/>
      <charset val="162"/>
      <scheme val="minor"/>
    </font>
    <font>
      <sz val="20"/>
      <color theme="5"/>
      <name val="Aptos Narrow"/>
      <family val="2"/>
      <scheme val="minor"/>
    </font>
    <font>
      <sz val="20"/>
      <color theme="1"/>
      <name val="Aptos Narrow"/>
      <family val="2"/>
      <charset val="162"/>
      <scheme val="minor"/>
    </font>
  </fonts>
  <fills count="7">
    <fill>
      <patternFill patternType="none"/>
    </fill>
    <fill>
      <patternFill patternType="gray125"/>
    </fill>
    <fill>
      <patternFill patternType="solid">
        <fgColor theme="7" tint="0.59999389629810485"/>
        <bgColor indexed="64"/>
      </patternFill>
    </fill>
    <fill>
      <patternFill patternType="solid">
        <fgColor theme="5"/>
        <bgColor indexed="64"/>
      </patternFill>
    </fill>
    <fill>
      <patternFill patternType="solid">
        <fgColor theme="5" tint="0.39997558519241921"/>
        <bgColor indexed="64"/>
      </patternFill>
    </fill>
    <fill>
      <patternFill patternType="solid">
        <fgColor theme="6" tint="0.79998168889431442"/>
        <bgColor indexed="64"/>
      </patternFill>
    </fill>
    <fill>
      <patternFill patternType="solid">
        <fgColor theme="9"/>
        <bgColor indexed="64"/>
      </patternFill>
    </fill>
  </fills>
  <borders count="1">
    <border>
      <left/>
      <right/>
      <top/>
      <bottom/>
      <diagonal/>
    </border>
  </borders>
  <cellStyleXfs count="1">
    <xf numFmtId="0" fontId="0" fillId="0" borderId="0"/>
  </cellStyleXfs>
  <cellXfs count="14">
    <xf numFmtId="0" fontId="0" fillId="0" borderId="0" xfId="0"/>
    <xf numFmtId="1" fontId="0" fillId="0" borderId="0" xfId="0" applyNumberFormat="1"/>
    <xf numFmtId="0" fontId="1" fillId="0" borderId="0" xfId="0" applyFont="1"/>
    <xf numFmtId="0" fontId="2" fillId="0" borderId="0" xfId="0" applyFont="1"/>
    <xf numFmtId="0" fontId="0" fillId="3" borderId="0" xfId="0" applyFill="1"/>
    <xf numFmtId="0" fontId="0" fillId="4" borderId="0" xfId="0" applyFill="1"/>
    <xf numFmtId="0" fontId="0" fillId="0" borderId="0" xfId="0" pivotButton="1"/>
    <xf numFmtId="0" fontId="0" fillId="0" borderId="0" xfId="0" applyAlignment="1">
      <alignment horizontal="left"/>
    </xf>
    <xf numFmtId="0" fontId="0" fillId="6" borderId="0" xfId="0" applyFill="1"/>
    <xf numFmtId="0" fontId="4" fillId="5" borderId="0" xfId="0" applyFont="1" applyFill="1" applyAlignment="1">
      <alignment horizontal="center"/>
    </xf>
    <xf numFmtId="0" fontId="5" fillId="5" borderId="0" xfId="0" applyFont="1" applyFill="1" applyAlignment="1">
      <alignment horizontal="center"/>
    </xf>
    <xf numFmtId="0" fontId="3" fillId="2" borderId="0" xfId="0" applyFont="1" applyFill="1" applyAlignment="1">
      <alignment horizontal="center" vertical="center"/>
    </xf>
    <xf numFmtId="0" fontId="0" fillId="5" borderId="0" xfId="0" applyFill="1" applyAlignment="1">
      <alignment horizontal="center"/>
    </xf>
    <xf numFmtId="0" fontId="0" fillId="0" borderId="0" xfId="0" applyAlignment="1">
      <alignment horizontal="center"/>
    </xf>
  </cellXfs>
  <cellStyles count="1">
    <cellStyle name="Normal" xfId="0" builtinId="0"/>
  </cellStyles>
  <dxfs count="6">
    <dxf>
      <font>
        <color rgb="FF9C0006"/>
      </font>
      <fill>
        <patternFill>
          <bgColor rgb="FFFFC7CE"/>
        </patternFill>
      </fill>
    </dxf>
    <dxf>
      <font>
        <color rgb="FF9C0006"/>
      </font>
      <fill>
        <patternFill>
          <bgColor rgb="FFFFC7CE"/>
        </patternFill>
      </fill>
    </dxf>
    <dxf>
      <fill>
        <patternFill>
          <bgColor rgb="FFFFFF00"/>
        </patternFill>
      </fill>
    </dxf>
    <dxf>
      <fill>
        <patternFill>
          <bgColor rgb="FFFF0000"/>
        </patternFill>
      </fill>
    </dxf>
    <dxf>
      <font>
        <b val="0"/>
        <i val="0"/>
        <strike val="0"/>
        <condense val="0"/>
        <extend val="0"/>
        <outline val="0"/>
        <shadow val="0"/>
        <u val="none"/>
        <vertAlign val="baseline"/>
        <sz val="11"/>
        <color theme="1"/>
        <name val="Aptos Narrow"/>
        <family val="2"/>
        <charset val="162"/>
        <scheme val="minor"/>
      </font>
    </dxf>
    <dxf>
      <font>
        <b val="0"/>
        <i val="0"/>
        <strike val="0"/>
        <condense val="0"/>
        <extend val="0"/>
        <outline val="0"/>
        <shadow val="0"/>
        <u val="none"/>
        <vertAlign val="baseline"/>
        <sz val="11"/>
        <color theme="1"/>
        <name val="Aptos Narrow"/>
        <family val="2"/>
        <charset val="16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[Banka-hesaplar.xlsx]PİVOT TABLE!PivotTable1</c:name>
    <c:fmtId val="4"/>
  </c:pivotSource>
  <c:chart>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6"/>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7"/>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TABLE'!$B$3:$B$5</c:f>
              <c:strCache>
                <c:ptCount val="1"/>
                <c:pt idx="0">
                  <c:v>Aktif - Sum of Toplam Yartılan</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TABLE'!$A$6:$A$36</c:f>
              <c:strCache>
                <c:ptCount val="30"/>
                <c:pt idx="0">
                  <c:v>ahmad khaled</c:v>
                </c:pt>
                <c:pt idx="1">
                  <c:v>ali aslan</c:v>
                </c:pt>
                <c:pt idx="2">
                  <c:v>başak kader</c:v>
                </c:pt>
                <c:pt idx="3">
                  <c:v>batuhan duran</c:v>
                </c:pt>
                <c:pt idx="4">
                  <c:v>burcu buzdoğan</c:v>
                </c:pt>
                <c:pt idx="5">
                  <c:v>cihad eren</c:v>
                </c:pt>
                <c:pt idx="6">
                  <c:v>cihan yılmaz</c:v>
                </c:pt>
                <c:pt idx="7">
                  <c:v>dalia samar</c:v>
                </c:pt>
                <c:pt idx="8">
                  <c:v>dania sayed</c:v>
                </c:pt>
                <c:pt idx="9">
                  <c:v>emer arslan</c:v>
                </c:pt>
                <c:pt idx="10">
                  <c:v>eyüp kaya</c:v>
                </c:pt>
                <c:pt idx="11">
                  <c:v>irem teber</c:v>
                </c:pt>
                <c:pt idx="12">
                  <c:v>kübra akarsu</c:v>
                </c:pt>
                <c:pt idx="13">
                  <c:v>lana khalaf</c:v>
                </c:pt>
                <c:pt idx="14">
                  <c:v>levent demir</c:v>
                </c:pt>
                <c:pt idx="15">
                  <c:v>melisa kaya</c:v>
                </c:pt>
                <c:pt idx="16">
                  <c:v>merve çavdar</c:v>
                </c:pt>
                <c:pt idx="17">
                  <c:v>mohammad ali</c:v>
                </c:pt>
                <c:pt idx="18">
                  <c:v>ömer doğan</c:v>
                </c:pt>
                <c:pt idx="19">
                  <c:v>özge erdoğan</c:v>
                </c:pt>
                <c:pt idx="20">
                  <c:v>sami harb</c:v>
                </c:pt>
                <c:pt idx="21">
                  <c:v>samra dahab</c:v>
                </c:pt>
                <c:pt idx="22">
                  <c:v>sevda tekin</c:v>
                </c:pt>
                <c:pt idx="23">
                  <c:v>şerife üsttün</c:v>
                </c:pt>
                <c:pt idx="24">
                  <c:v>taha alfiza</c:v>
                </c:pt>
                <c:pt idx="25">
                  <c:v>tolga aslan</c:v>
                </c:pt>
                <c:pt idx="26">
                  <c:v>tuğba demir</c:v>
                </c:pt>
                <c:pt idx="27">
                  <c:v>yakup teber</c:v>
                </c:pt>
                <c:pt idx="28">
                  <c:v>yılmaz ögün</c:v>
                </c:pt>
                <c:pt idx="29">
                  <c:v>yusuf doğan</c:v>
                </c:pt>
              </c:strCache>
            </c:strRef>
          </c:cat>
          <c:val>
            <c:numRef>
              <c:f>'PİVOT TABLE'!$B$6:$B$36</c:f>
              <c:numCache>
                <c:formatCode>General</c:formatCode>
                <c:ptCount val="30"/>
                <c:pt idx="0">
                  <c:v>50000</c:v>
                </c:pt>
                <c:pt idx="1">
                  <c:v>100000</c:v>
                </c:pt>
                <c:pt idx="2">
                  <c:v>4668898</c:v>
                </c:pt>
                <c:pt idx="3">
                  <c:v>600000</c:v>
                </c:pt>
                <c:pt idx="4">
                  <c:v>800009</c:v>
                </c:pt>
                <c:pt idx="5">
                  <c:v>677889</c:v>
                </c:pt>
                <c:pt idx="6">
                  <c:v>90000</c:v>
                </c:pt>
                <c:pt idx="7">
                  <c:v>40000</c:v>
                </c:pt>
                <c:pt idx="8">
                  <c:v>29000</c:v>
                </c:pt>
                <c:pt idx="9">
                  <c:v>890000</c:v>
                </c:pt>
                <c:pt idx="10">
                  <c:v>67899</c:v>
                </c:pt>
                <c:pt idx="11">
                  <c:v>567821</c:v>
                </c:pt>
                <c:pt idx="12">
                  <c:v>500000</c:v>
                </c:pt>
                <c:pt idx="13">
                  <c:v>30000</c:v>
                </c:pt>
                <c:pt idx="14">
                  <c:v>909067</c:v>
                </c:pt>
                <c:pt idx="15">
                  <c:v>567890</c:v>
                </c:pt>
                <c:pt idx="16">
                  <c:v>345678</c:v>
                </c:pt>
                <c:pt idx="17">
                  <c:v>33800</c:v>
                </c:pt>
                <c:pt idx="18">
                  <c:v>3000089</c:v>
                </c:pt>
                <c:pt idx="19">
                  <c:v>456778</c:v>
                </c:pt>
                <c:pt idx="20">
                  <c:v>20000</c:v>
                </c:pt>
                <c:pt idx="21">
                  <c:v>40000</c:v>
                </c:pt>
                <c:pt idx="22">
                  <c:v>234556</c:v>
                </c:pt>
                <c:pt idx="23">
                  <c:v>298765</c:v>
                </c:pt>
                <c:pt idx="24">
                  <c:v>677890</c:v>
                </c:pt>
                <c:pt idx="25">
                  <c:v>456789</c:v>
                </c:pt>
                <c:pt idx="26">
                  <c:v>78890</c:v>
                </c:pt>
                <c:pt idx="27">
                  <c:v>890000</c:v>
                </c:pt>
                <c:pt idx="28">
                  <c:v>345689</c:v>
                </c:pt>
                <c:pt idx="29">
                  <c:v>409000</c:v>
                </c:pt>
              </c:numCache>
            </c:numRef>
          </c:val>
          <c:smooth val="0"/>
          <c:extLst>
            <c:ext xmlns:c16="http://schemas.microsoft.com/office/drawing/2014/chart" uri="{C3380CC4-5D6E-409C-BE32-E72D297353CC}">
              <c16:uniqueId val="{00000000-610C-4D77-9EB1-CEAE99EB4484}"/>
            </c:ext>
          </c:extLst>
        </c:ser>
        <c:ser>
          <c:idx val="1"/>
          <c:order val="1"/>
          <c:tx>
            <c:strRef>
              <c:f>'PİVOT TABLE'!$C$3:$C$5</c:f>
              <c:strCache>
                <c:ptCount val="1"/>
                <c:pt idx="0">
                  <c:v>Aktif - Sum of Önceki Bakiye</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TABLE'!$A$6:$A$36</c:f>
              <c:strCache>
                <c:ptCount val="30"/>
                <c:pt idx="0">
                  <c:v>ahmad khaled</c:v>
                </c:pt>
                <c:pt idx="1">
                  <c:v>ali aslan</c:v>
                </c:pt>
                <c:pt idx="2">
                  <c:v>başak kader</c:v>
                </c:pt>
                <c:pt idx="3">
                  <c:v>batuhan duran</c:v>
                </c:pt>
                <c:pt idx="4">
                  <c:v>burcu buzdoğan</c:v>
                </c:pt>
                <c:pt idx="5">
                  <c:v>cihad eren</c:v>
                </c:pt>
                <c:pt idx="6">
                  <c:v>cihan yılmaz</c:v>
                </c:pt>
                <c:pt idx="7">
                  <c:v>dalia samar</c:v>
                </c:pt>
                <c:pt idx="8">
                  <c:v>dania sayed</c:v>
                </c:pt>
                <c:pt idx="9">
                  <c:v>emer arslan</c:v>
                </c:pt>
                <c:pt idx="10">
                  <c:v>eyüp kaya</c:v>
                </c:pt>
                <c:pt idx="11">
                  <c:v>irem teber</c:v>
                </c:pt>
                <c:pt idx="12">
                  <c:v>kübra akarsu</c:v>
                </c:pt>
                <c:pt idx="13">
                  <c:v>lana khalaf</c:v>
                </c:pt>
                <c:pt idx="14">
                  <c:v>levent demir</c:v>
                </c:pt>
                <c:pt idx="15">
                  <c:v>melisa kaya</c:v>
                </c:pt>
                <c:pt idx="16">
                  <c:v>merve çavdar</c:v>
                </c:pt>
                <c:pt idx="17">
                  <c:v>mohammad ali</c:v>
                </c:pt>
                <c:pt idx="18">
                  <c:v>ömer doğan</c:v>
                </c:pt>
                <c:pt idx="19">
                  <c:v>özge erdoğan</c:v>
                </c:pt>
                <c:pt idx="20">
                  <c:v>sami harb</c:v>
                </c:pt>
                <c:pt idx="21">
                  <c:v>samra dahab</c:v>
                </c:pt>
                <c:pt idx="22">
                  <c:v>sevda tekin</c:v>
                </c:pt>
                <c:pt idx="23">
                  <c:v>şerife üsttün</c:v>
                </c:pt>
                <c:pt idx="24">
                  <c:v>taha alfiza</c:v>
                </c:pt>
                <c:pt idx="25">
                  <c:v>tolga aslan</c:v>
                </c:pt>
                <c:pt idx="26">
                  <c:v>tuğba demir</c:v>
                </c:pt>
                <c:pt idx="27">
                  <c:v>yakup teber</c:v>
                </c:pt>
                <c:pt idx="28">
                  <c:v>yılmaz ögün</c:v>
                </c:pt>
                <c:pt idx="29">
                  <c:v>yusuf doğan</c:v>
                </c:pt>
              </c:strCache>
            </c:strRef>
          </c:cat>
          <c:val>
            <c:numRef>
              <c:f>'PİVOT TABLE'!$C$6:$C$36</c:f>
              <c:numCache>
                <c:formatCode>General</c:formatCode>
                <c:ptCount val="30"/>
                <c:pt idx="0">
                  <c:v>7000</c:v>
                </c:pt>
                <c:pt idx="1">
                  <c:v>844670</c:v>
                </c:pt>
                <c:pt idx="2">
                  <c:v>67779</c:v>
                </c:pt>
                <c:pt idx="3">
                  <c:v>7000</c:v>
                </c:pt>
                <c:pt idx="4">
                  <c:v>33800</c:v>
                </c:pt>
                <c:pt idx="5">
                  <c:v>234987</c:v>
                </c:pt>
                <c:pt idx="6">
                  <c:v>345678</c:v>
                </c:pt>
                <c:pt idx="7">
                  <c:v>33800</c:v>
                </c:pt>
                <c:pt idx="8">
                  <c:v>5000</c:v>
                </c:pt>
                <c:pt idx="9">
                  <c:v>29000</c:v>
                </c:pt>
                <c:pt idx="10">
                  <c:v>779809</c:v>
                </c:pt>
                <c:pt idx="11">
                  <c:v>40000</c:v>
                </c:pt>
                <c:pt idx="12">
                  <c:v>30000</c:v>
                </c:pt>
                <c:pt idx="13">
                  <c:v>29000</c:v>
                </c:pt>
                <c:pt idx="14">
                  <c:v>123445</c:v>
                </c:pt>
                <c:pt idx="15">
                  <c:v>7837367</c:v>
                </c:pt>
                <c:pt idx="16">
                  <c:v>457388</c:v>
                </c:pt>
                <c:pt idx="17">
                  <c:v>30000</c:v>
                </c:pt>
                <c:pt idx="18">
                  <c:v>456789</c:v>
                </c:pt>
                <c:pt idx="19">
                  <c:v>100000</c:v>
                </c:pt>
                <c:pt idx="20">
                  <c:v>40000</c:v>
                </c:pt>
                <c:pt idx="21">
                  <c:v>20000</c:v>
                </c:pt>
                <c:pt idx="22">
                  <c:v>876467</c:v>
                </c:pt>
                <c:pt idx="23">
                  <c:v>908776</c:v>
                </c:pt>
                <c:pt idx="24">
                  <c:v>5000</c:v>
                </c:pt>
                <c:pt idx="25">
                  <c:v>98765</c:v>
                </c:pt>
                <c:pt idx="26">
                  <c:v>20983</c:v>
                </c:pt>
                <c:pt idx="27">
                  <c:v>45678</c:v>
                </c:pt>
                <c:pt idx="28">
                  <c:v>567898</c:v>
                </c:pt>
                <c:pt idx="29">
                  <c:v>234567</c:v>
                </c:pt>
              </c:numCache>
            </c:numRef>
          </c:val>
          <c:smooth val="0"/>
          <c:extLst>
            <c:ext xmlns:c16="http://schemas.microsoft.com/office/drawing/2014/chart" uri="{C3380CC4-5D6E-409C-BE32-E72D297353CC}">
              <c16:uniqueId val="{00000001-610C-4D77-9EB1-CEAE99EB4484}"/>
            </c:ext>
          </c:extLst>
        </c:ser>
        <c:ser>
          <c:idx val="2"/>
          <c:order val="2"/>
          <c:tx>
            <c:strRef>
              <c:f>'PİVOT TABLE'!$D$3:$D$5</c:f>
              <c:strCache>
                <c:ptCount val="1"/>
                <c:pt idx="0">
                  <c:v>Aktif - Sum of Güncel Bakiye</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'PİVOT TABLE'!$A$6:$A$36</c:f>
              <c:strCache>
                <c:ptCount val="30"/>
                <c:pt idx="0">
                  <c:v>ahmad khaled</c:v>
                </c:pt>
                <c:pt idx="1">
                  <c:v>ali aslan</c:v>
                </c:pt>
                <c:pt idx="2">
                  <c:v>başak kader</c:v>
                </c:pt>
                <c:pt idx="3">
                  <c:v>batuhan duran</c:v>
                </c:pt>
                <c:pt idx="4">
                  <c:v>burcu buzdoğan</c:v>
                </c:pt>
                <c:pt idx="5">
                  <c:v>cihad eren</c:v>
                </c:pt>
                <c:pt idx="6">
                  <c:v>cihan yılmaz</c:v>
                </c:pt>
                <c:pt idx="7">
                  <c:v>dalia samar</c:v>
                </c:pt>
                <c:pt idx="8">
                  <c:v>dania sayed</c:v>
                </c:pt>
                <c:pt idx="9">
                  <c:v>emer arslan</c:v>
                </c:pt>
                <c:pt idx="10">
                  <c:v>eyüp kaya</c:v>
                </c:pt>
                <c:pt idx="11">
                  <c:v>irem teber</c:v>
                </c:pt>
                <c:pt idx="12">
                  <c:v>kübra akarsu</c:v>
                </c:pt>
                <c:pt idx="13">
                  <c:v>lana khalaf</c:v>
                </c:pt>
                <c:pt idx="14">
                  <c:v>levent demir</c:v>
                </c:pt>
                <c:pt idx="15">
                  <c:v>melisa kaya</c:v>
                </c:pt>
                <c:pt idx="16">
                  <c:v>merve çavdar</c:v>
                </c:pt>
                <c:pt idx="17">
                  <c:v>mohammad ali</c:v>
                </c:pt>
                <c:pt idx="18">
                  <c:v>ömer doğan</c:v>
                </c:pt>
                <c:pt idx="19">
                  <c:v>özge erdoğan</c:v>
                </c:pt>
                <c:pt idx="20">
                  <c:v>sami harb</c:v>
                </c:pt>
                <c:pt idx="21">
                  <c:v>samra dahab</c:v>
                </c:pt>
                <c:pt idx="22">
                  <c:v>sevda tekin</c:v>
                </c:pt>
                <c:pt idx="23">
                  <c:v>şerife üsttün</c:v>
                </c:pt>
                <c:pt idx="24">
                  <c:v>taha alfiza</c:v>
                </c:pt>
                <c:pt idx="25">
                  <c:v>tolga aslan</c:v>
                </c:pt>
                <c:pt idx="26">
                  <c:v>tuğba demir</c:v>
                </c:pt>
                <c:pt idx="27">
                  <c:v>yakup teber</c:v>
                </c:pt>
                <c:pt idx="28">
                  <c:v>yılmaz ögün</c:v>
                </c:pt>
                <c:pt idx="29">
                  <c:v>yusuf doğan</c:v>
                </c:pt>
              </c:strCache>
            </c:strRef>
          </c:cat>
          <c:val>
            <c:numRef>
              <c:f>'PİVOT TABLE'!$D$6:$D$36</c:f>
              <c:numCache>
                <c:formatCode>General</c:formatCode>
                <c:ptCount val="30"/>
                <c:pt idx="0">
                  <c:v>54000</c:v>
                </c:pt>
                <c:pt idx="1">
                  <c:v>938670</c:v>
                </c:pt>
                <c:pt idx="2">
                  <c:v>4728677</c:v>
                </c:pt>
                <c:pt idx="3">
                  <c:v>591000</c:v>
                </c:pt>
                <c:pt idx="4">
                  <c:v>824809</c:v>
                </c:pt>
                <c:pt idx="5">
                  <c:v>878326</c:v>
                </c:pt>
                <c:pt idx="6">
                  <c:v>431178</c:v>
                </c:pt>
                <c:pt idx="7">
                  <c:v>68200</c:v>
                </c:pt>
                <c:pt idx="8">
                  <c:v>31100</c:v>
                </c:pt>
                <c:pt idx="9">
                  <c:v>910100</c:v>
                </c:pt>
                <c:pt idx="10">
                  <c:v>843703</c:v>
                </c:pt>
                <c:pt idx="11">
                  <c:v>602143</c:v>
                </c:pt>
                <c:pt idx="12">
                  <c:v>522000</c:v>
                </c:pt>
                <c:pt idx="13">
                  <c:v>55600</c:v>
                </c:pt>
                <c:pt idx="14">
                  <c:v>1031312</c:v>
                </c:pt>
                <c:pt idx="15">
                  <c:v>8392917</c:v>
                </c:pt>
                <c:pt idx="16">
                  <c:v>796066</c:v>
                </c:pt>
                <c:pt idx="17">
                  <c:v>59800</c:v>
                </c:pt>
                <c:pt idx="18">
                  <c:v>3449878</c:v>
                </c:pt>
                <c:pt idx="19">
                  <c:v>516728</c:v>
                </c:pt>
                <c:pt idx="20">
                  <c:v>59000</c:v>
                </c:pt>
                <c:pt idx="21">
                  <c:v>57800</c:v>
                </c:pt>
                <c:pt idx="22">
                  <c:v>1107573</c:v>
                </c:pt>
                <c:pt idx="23">
                  <c:v>1202541</c:v>
                </c:pt>
                <c:pt idx="24">
                  <c:v>676190</c:v>
                </c:pt>
                <c:pt idx="25">
                  <c:v>551054</c:v>
                </c:pt>
                <c:pt idx="26">
                  <c:v>94873</c:v>
                </c:pt>
                <c:pt idx="27">
                  <c:v>929778</c:v>
                </c:pt>
                <c:pt idx="28">
                  <c:v>905897</c:v>
                </c:pt>
                <c:pt idx="29">
                  <c:v>635677</c:v>
                </c:pt>
              </c:numCache>
            </c:numRef>
          </c:val>
          <c:smooth val="0"/>
          <c:extLst>
            <c:ext xmlns:c16="http://schemas.microsoft.com/office/drawing/2014/chart" uri="{C3380CC4-5D6E-409C-BE32-E72D297353CC}">
              <c16:uniqueId val="{00000002-610C-4D77-9EB1-CEAE99EB4484}"/>
            </c:ext>
          </c:extLst>
        </c:ser>
        <c:dLbls>
          <c:showLegendKey val="0"/>
          <c:showVal val="0"/>
          <c:showCatName val="0"/>
          <c:showSerName val="0"/>
          <c:showPercent val="0"/>
          <c:showBubbleSize val="0"/>
        </c:dLbls>
        <c:marker val="1"/>
        <c:smooth val="0"/>
        <c:axId val="169295791"/>
        <c:axId val="169296271"/>
      </c:lineChart>
      <c:catAx>
        <c:axId val="16929579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tr-TR"/>
          </a:p>
        </c:txPr>
        <c:crossAx val="169296271"/>
        <c:crosses val="autoZero"/>
        <c:auto val="1"/>
        <c:lblAlgn val="ctr"/>
        <c:lblOffset val="100"/>
        <c:noMultiLvlLbl val="0"/>
      </c:catAx>
      <c:valAx>
        <c:axId val="16929627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tr-TR"/>
          </a:p>
        </c:txPr>
        <c:crossAx val="169295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tr-TR"/>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trlProps/ctrlProp1.xml><?xml version="1.0" encoding="utf-8"?>
<formControlPr xmlns="http://schemas.microsoft.com/office/spreadsheetml/2009/9/main" objectType="Drop" dropStyle="combo" dx="26" fmlaLink="$D$6" fmlaRange="$I$6:$I$35" noThreeD="1" sel="22" val="21"/>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1394460</xdr:colOff>
          <xdr:row>0</xdr:row>
          <xdr:rowOff>106680</xdr:rowOff>
        </xdr:from>
        <xdr:to>
          <xdr:col>4</xdr:col>
          <xdr:colOff>15240</xdr:colOff>
          <xdr:row>1</xdr:row>
          <xdr:rowOff>129540</xdr:rowOff>
        </xdr:to>
        <xdr:sp macro="" textlink="">
          <xdr:nvSpPr>
            <xdr:cNvPr id="3073" name="Drop Down 1" hidden="1">
              <a:extLst>
                <a:ext uri="{63B3BB69-23CF-44E3-9099-C40C66FF867C}">
                  <a14:compatExt spid="_x0000_s3073"/>
                </a:ext>
                <a:ext uri="{FF2B5EF4-FFF2-40B4-BE49-F238E27FC236}">
                  <a16:creationId xmlns:a16="http://schemas.microsoft.com/office/drawing/2014/main" id="{00000000-0008-0000-0100-000001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absolute">
    <xdr:from>
      <xdr:col>17</xdr:col>
      <xdr:colOff>71642</xdr:colOff>
      <xdr:row>4</xdr:row>
      <xdr:rowOff>33150</xdr:rowOff>
    </xdr:from>
    <xdr:to>
      <xdr:col>19</xdr:col>
      <xdr:colOff>192063</xdr:colOff>
      <xdr:row>14</xdr:row>
      <xdr:rowOff>58615</xdr:rowOff>
    </xdr:to>
    <mc:AlternateContent xmlns:mc="http://schemas.openxmlformats.org/markup-compatibility/2006" xmlns:sle15="http://schemas.microsoft.com/office/drawing/2012/slicer">
      <mc:Choice Requires="sle15">
        <xdr:graphicFrame macro="">
          <xdr:nvGraphicFramePr>
            <xdr:cNvPr id="2" name="Müşteri Adı Soyadı">
              <a:extLst>
                <a:ext uri="{FF2B5EF4-FFF2-40B4-BE49-F238E27FC236}">
                  <a16:creationId xmlns:a16="http://schemas.microsoft.com/office/drawing/2014/main" id="{01F19A81-07A1-877F-7C17-A86D60408C31}"/>
                </a:ext>
              </a:extLst>
            </xdr:cNvPr>
            <xdr:cNvGraphicFramePr/>
          </xdr:nvGraphicFramePr>
          <xdr:xfrm>
            <a:off x="0" y="0"/>
            <a:ext cx="0" cy="0"/>
          </xdr:xfrm>
          <a:graphic>
            <a:graphicData uri="http://schemas.microsoft.com/office/drawing/2010/slicer">
              <sle:slicer xmlns:sle="http://schemas.microsoft.com/office/drawing/2010/slicer" name="Müşteri Adı Soyadı"/>
            </a:graphicData>
          </a:graphic>
        </xdr:graphicFrame>
      </mc:Choice>
      <mc:Fallback xmlns="">
        <xdr:sp macro="" textlink="">
          <xdr:nvSpPr>
            <xdr:cNvPr id="0" name=""/>
            <xdr:cNvSpPr>
              <a:spLocks noTextEdit="1"/>
            </xdr:cNvSpPr>
          </xdr:nvSpPr>
          <xdr:spPr>
            <a:xfrm>
              <a:off x="10018544860" y="762586"/>
              <a:ext cx="1344832" cy="1849055"/>
            </a:xfrm>
            <a:prstGeom prst="rect">
              <a:avLst/>
            </a:prstGeom>
            <a:solidFill>
              <a:prstClr val="white"/>
            </a:solidFill>
            <a:ln w="1">
              <a:solidFill>
                <a:prstClr val="green"/>
              </a:solidFill>
            </a:ln>
          </xdr:spPr>
          <xdr:txBody>
            <a:bodyPr vertOverflow="clip" horzOverflow="clip"/>
            <a:lstStyle/>
            <a:p>
              <a:r>
                <a:rPr lang="tr-TR"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488462</xdr:colOff>
      <xdr:row>3</xdr:row>
      <xdr:rowOff>175847</xdr:rowOff>
    </xdr:from>
    <xdr:to>
      <xdr:col>7</xdr:col>
      <xdr:colOff>455898</xdr:colOff>
      <xdr:row>12</xdr:row>
      <xdr:rowOff>52103</xdr:rowOff>
    </xdr:to>
    <mc:AlternateContent xmlns:mc="http://schemas.openxmlformats.org/markup-compatibility/2006" xmlns:sle15="http://schemas.microsoft.com/office/drawing/2012/slicer">
      <mc:Choice Requires="sle15">
        <xdr:graphicFrame macro="">
          <xdr:nvGraphicFramePr>
            <xdr:cNvPr id="3" name="Hesap Türü">
              <a:extLst>
                <a:ext uri="{FF2B5EF4-FFF2-40B4-BE49-F238E27FC236}">
                  <a16:creationId xmlns:a16="http://schemas.microsoft.com/office/drawing/2014/main" id="{5D79EB1B-FDE6-B92C-3282-273B49C9FAF7}"/>
                </a:ext>
              </a:extLst>
            </xdr:cNvPr>
            <xdr:cNvGraphicFramePr/>
          </xdr:nvGraphicFramePr>
          <xdr:xfrm>
            <a:off x="0" y="0"/>
            <a:ext cx="0" cy="0"/>
          </xdr:xfrm>
          <a:graphic>
            <a:graphicData uri="http://schemas.microsoft.com/office/drawing/2010/slicer">
              <sle:slicer xmlns:sle="http://schemas.microsoft.com/office/drawing/2010/slicer" name="Hesap Türü"/>
            </a:graphicData>
          </a:graphic>
        </xdr:graphicFrame>
      </mc:Choice>
      <mc:Fallback xmlns="">
        <xdr:sp macro="" textlink="">
          <xdr:nvSpPr>
            <xdr:cNvPr id="0" name=""/>
            <xdr:cNvSpPr>
              <a:spLocks noTextEdit="1"/>
            </xdr:cNvSpPr>
          </xdr:nvSpPr>
          <xdr:spPr>
            <a:xfrm>
              <a:off x="10028962051" y="722924"/>
              <a:ext cx="1191846" cy="1517487"/>
            </a:xfrm>
            <a:prstGeom prst="rect">
              <a:avLst/>
            </a:prstGeom>
            <a:solidFill>
              <a:prstClr val="white"/>
            </a:solidFill>
            <a:ln w="1">
              <a:solidFill>
                <a:prstClr val="green"/>
              </a:solidFill>
            </a:ln>
          </xdr:spPr>
          <xdr:txBody>
            <a:bodyPr vertOverflow="clip" horzOverflow="clip"/>
            <a:lstStyle/>
            <a:p>
              <a:r>
                <a:rPr lang="tr-TR"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982980</xdr:colOff>
      <xdr:row>5</xdr:row>
      <xdr:rowOff>121920</xdr:rowOff>
    </xdr:from>
    <xdr:to>
      <xdr:col>17</xdr:col>
      <xdr:colOff>297180</xdr:colOff>
      <xdr:row>23</xdr:row>
      <xdr:rowOff>91440</xdr:rowOff>
    </xdr:to>
    <xdr:graphicFrame macro="">
      <xdr:nvGraphicFramePr>
        <xdr:cNvPr id="2" name="Chart 1">
          <a:extLst>
            <a:ext uri="{FF2B5EF4-FFF2-40B4-BE49-F238E27FC236}">
              <a16:creationId xmlns:a16="http://schemas.microsoft.com/office/drawing/2014/main" id="{F4011A2C-6AF7-4333-BF63-18B990C461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075.076863541668" createdVersion="8" refreshedVersion="8" minRefreshableVersion="3" recordCount="30" xr:uid="{1ED72F05-738E-4EDF-8EC8-41B9BF1B0B90}">
  <cacheSource type="worksheet">
    <worksheetSource name="Table1"/>
  </cacheSource>
  <cacheFields count="9">
    <cacheField name="Müşteri Numarası" numFmtId="0">
      <sharedItems containsSemiMixedTypes="0" containsString="0" containsNumber="1" containsInteger="1" minValue="1001" maxValue="1030"/>
    </cacheField>
    <cacheField name="Müşteri Adı Soyadı" numFmtId="0">
      <sharedItems count="30">
        <s v="ahmad khaled"/>
        <s v="dania sayed"/>
        <s v="lana khalaf"/>
        <s v="mohammad ali"/>
        <s v="dalia samar"/>
        <s v="sami harb"/>
        <s v="samra dahab"/>
        <s v="özge erdoğan"/>
        <s v="tuğba demir"/>
        <s v="cihan yılmaz"/>
        <s v="ali aslan"/>
        <s v="merve çavdar"/>
        <s v="melisa kaya"/>
        <s v="eyüp kaya"/>
        <s v="yılmaz ögün"/>
        <s v="tolga aslan"/>
        <s v="levent demir"/>
        <s v="sevda tekin"/>
        <s v="şerife üsttün"/>
        <s v="başak kader"/>
        <s v="cihad eren"/>
        <s v="batuhan duran"/>
        <s v="taha alfiza"/>
        <s v="emer arslan"/>
        <s v="kübra akarsu"/>
        <s v="burcu buzdoğan"/>
        <s v="irem teber"/>
        <s v="yakup teber"/>
        <s v="yusuf doğan"/>
        <s v="ömer doğan"/>
      </sharedItems>
    </cacheField>
    <cacheField name="Hesap Türü" numFmtId="0">
      <sharedItems count="2">
        <s v="Birikim"/>
        <s v="Vadesiz"/>
      </sharedItems>
    </cacheField>
    <cacheField name="Önceki Bakiye" numFmtId="0">
      <sharedItems containsSemiMixedTypes="0" containsString="0" containsNumber="1" containsInteger="1" minValue="5000" maxValue="7837367" count="24">
        <n v="7000"/>
        <n v="5000"/>
        <n v="29000"/>
        <n v="30000"/>
        <n v="33800"/>
        <n v="40000"/>
        <n v="20000"/>
        <n v="100000"/>
        <n v="20983"/>
        <n v="345678"/>
        <n v="844670"/>
        <n v="457388"/>
        <n v="7837367"/>
        <n v="779809"/>
        <n v="567898"/>
        <n v="98765"/>
        <n v="123445"/>
        <n v="876467"/>
        <n v="908776"/>
        <n v="67779"/>
        <n v="234987"/>
        <n v="45678"/>
        <n v="234567"/>
        <n v="456789"/>
      </sharedItems>
    </cacheField>
    <cacheField name="Toplam Yartılan" numFmtId="0">
      <sharedItems containsSemiMixedTypes="0" containsString="0" containsNumber="1" containsInteger="1" minValue="20000" maxValue="4668898"/>
    </cacheField>
    <cacheField name="Toplam Çekilen" numFmtId="0">
      <sharedItems containsSemiMixedTypes="0" containsString="0" containsNumber="1" containsInteger="1" minValue="1000" maxValue="40050"/>
    </cacheField>
    <cacheField name="Güncel Bakiye" numFmtId="0">
      <sharedItems containsSemiMixedTypes="0" containsString="0" containsNumber="1" containsInteger="1" minValue="31100" maxValue="8392917"/>
    </cacheField>
    <cacheField name="Hesap Durumu" numFmtId="0">
      <sharedItems count="1">
        <s v="Aktif"/>
      </sharedItems>
    </cacheField>
    <cacheField name="Para Birimi" numFmtId="0">
      <sharedItems count="1">
        <s v="TL"/>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n v="1001"/>
    <x v="0"/>
    <x v="0"/>
    <x v="0"/>
    <n v="50000"/>
    <n v="3000"/>
    <n v="54000"/>
    <x v="0"/>
    <x v="0"/>
  </r>
  <r>
    <n v="1002"/>
    <x v="1"/>
    <x v="1"/>
    <x v="1"/>
    <n v="29000"/>
    <n v="2900"/>
    <n v="31100"/>
    <x v="0"/>
    <x v="0"/>
  </r>
  <r>
    <n v="1003"/>
    <x v="2"/>
    <x v="0"/>
    <x v="2"/>
    <n v="30000"/>
    <n v="3400"/>
    <n v="55600"/>
    <x v="0"/>
    <x v="0"/>
  </r>
  <r>
    <n v="1004"/>
    <x v="3"/>
    <x v="1"/>
    <x v="3"/>
    <n v="33800"/>
    <n v="4000"/>
    <n v="59800"/>
    <x v="0"/>
    <x v="0"/>
  </r>
  <r>
    <n v="1005"/>
    <x v="4"/>
    <x v="0"/>
    <x v="4"/>
    <n v="40000"/>
    <n v="5600"/>
    <n v="68200"/>
    <x v="0"/>
    <x v="0"/>
  </r>
  <r>
    <n v="1006"/>
    <x v="5"/>
    <x v="1"/>
    <x v="5"/>
    <n v="20000"/>
    <n v="1000"/>
    <n v="59000"/>
    <x v="0"/>
    <x v="0"/>
  </r>
  <r>
    <n v="1007"/>
    <x v="6"/>
    <x v="0"/>
    <x v="6"/>
    <n v="40000"/>
    <n v="2200"/>
    <n v="57800"/>
    <x v="0"/>
    <x v="0"/>
  </r>
  <r>
    <n v="1008"/>
    <x v="7"/>
    <x v="1"/>
    <x v="7"/>
    <n v="456778"/>
    <n v="40050"/>
    <n v="516728"/>
    <x v="0"/>
    <x v="0"/>
  </r>
  <r>
    <n v="1009"/>
    <x v="8"/>
    <x v="0"/>
    <x v="8"/>
    <n v="78890"/>
    <n v="5000"/>
    <n v="94873"/>
    <x v="0"/>
    <x v="0"/>
  </r>
  <r>
    <n v="1010"/>
    <x v="9"/>
    <x v="1"/>
    <x v="9"/>
    <n v="90000"/>
    <n v="4500"/>
    <n v="431178"/>
    <x v="0"/>
    <x v="0"/>
  </r>
  <r>
    <n v="1011"/>
    <x v="10"/>
    <x v="0"/>
    <x v="10"/>
    <n v="100000"/>
    <n v="6000"/>
    <n v="938670"/>
    <x v="0"/>
    <x v="0"/>
  </r>
  <r>
    <n v="1012"/>
    <x v="11"/>
    <x v="1"/>
    <x v="11"/>
    <n v="345678"/>
    <n v="7000"/>
    <n v="796066"/>
    <x v="0"/>
    <x v="0"/>
  </r>
  <r>
    <n v="1013"/>
    <x v="12"/>
    <x v="0"/>
    <x v="12"/>
    <n v="567890"/>
    <n v="12340"/>
    <n v="8392917"/>
    <x v="0"/>
    <x v="0"/>
  </r>
  <r>
    <n v="1014"/>
    <x v="13"/>
    <x v="1"/>
    <x v="13"/>
    <n v="67899"/>
    <n v="4005"/>
    <n v="843703"/>
    <x v="0"/>
    <x v="0"/>
  </r>
  <r>
    <n v="1015"/>
    <x v="14"/>
    <x v="0"/>
    <x v="14"/>
    <n v="345689"/>
    <n v="7690"/>
    <n v="905897"/>
    <x v="0"/>
    <x v="0"/>
  </r>
  <r>
    <n v="1016"/>
    <x v="15"/>
    <x v="1"/>
    <x v="15"/>
    <n v="456789"/>
    <n v="4500"/>
    <n v="551054"/>
    <x v="0"/>
    <x v="0"/>
  </r>
  <r>
    <n v="1017"/>
    <x v="16"/>
    <x v="0"/>
    <x v="16"/>
    <n v="909067"/>
    <n v="1200"/>
    <n v="1031312"/>
    <x v="0"/>
    <x v="0"/>
  </r>
  <r>
    <n v="1018"/>
    <x v="17"/>
    <x v="1"/>
    <x v="17"/>
    <n v="234556"/>
    <n v="3450"/>
    <n v="1107573"/>
    <x v="0"/>
    <x v="0"/>
  </r>
  <r>
    <n v="1019"/>
    <x v="18"/>
    <x v="0"/>
    <x v="18"/>
    <n v="298765"/>
    <n v="5000"/>
    <n v="1202541"/>
    <x v="0"/>
    <x v="0"/>
  </r>
  <r>
    <n v="1020"/>
    <x v="19"/>
    <x v="1"/>
    <x v="19"/>
    <n v="4668898"/>
    <n v="8000"/>
    <n v="4728677"/>
    <x v="0"/>
    <x v="0"/>
  </r>
  <r>
    <n v="1021"/>
    <x v="20"/>
    <x v="0"/>
    <x v="20"/>
    <n v="677889"/>
    <n v="34550"/>
    <n v="878326"/>
    <x v="0"/>
    <x v="0"/>
  </r>
  <r>
    <n v="1022"/>
    <x v="21"/>
    <x v="1"/>
    <x v="0"/>
    <n v="600000"/>
    <n v="16000"/>
    <n v="591000"/>
    <x v="0"/>
    <x v="0"/>
  </r>
  <r>
    <n v="1023"/>
    <x v="22"/>
    <x v="0"/>
    <x v="1"/>
    <n v="677890"/>
    <n v="6700"/>
    <n v="676190"/>
    <x v="0"/>
    <x v="0"/>
  </r>
  <r>
    <n v="1024"/>
    <x v="23"/>
    <x v="1"/>
    <x v="2"/>
    <n v="890000"/>
    <n v="8900"/>
    <n v="910100"/>
    <x v="0"/>
    <x v="0"/>
  </r>
  <r>
    <n v="1025"/>
    <x v="24"/>
    <x v="0"/>
    <x v="3"/>
    <n v="500000"/>
    <n v="8000"/>
    <n v="522000"/>
    <x v="0"/>
    <x v="0"/>
  </r>
  <r>
    <n v="1026"/>
    <x v="25"/>
    <x v="1"/>
    <x v="4"/>
    <n v="800009"/>
    <n v="9000"/>
    <n v="824809"/>
    <x v="0"/>
    <x v="0"/>
  </r>
  <r>
    <n v="1027"/>
    <x v="26"/>
    <x v="0"/>
    <x v="5"/>
    <n v="567821"/>
    <n v="5678"/>
    <n v="602143"/>
    <x v="0"/>
    <x v="0"/>
  </r>
  <r>
    <n v="1028"/>
    <x v="27"/>
    <x v="1"/>
    <x v="21"/>
    <n v="890000"/>
    <n v="5900"/>
    <n v="929778"/>
    <x v="0"/>
    <x v="0"/>
  </r>
  <r>
    <n v="1029"/>
    <x v="28"/>
    <x v="0"/>
    <x v="22"/>
    <n v="409000"/>
    <n v="7890"/>
    <n v="635677"/>
    <x v="0"/>
    <x v="0"/>
  </r>
  <r>
    <n v="1030"/>
    <x v="29"/>
    <x v="1"/>
    <x v="23"/>
    <n v="3000089"/>
    <n v="7000"/>
    <n v="3449878"/>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C583F5-22E0-4A8B-B24D-C8C217DCA40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G36" firstHeaderRow="1" firstDataRow="3" firstDataCol="1" rowPageCount="1" colPageCount="1"/>
  <pivotFields count="9">
    <pivotField showAll="0"/>
    <pivotField axis="axisRow" showAll="0">
      <items count="31">
        <item x="0"/>
        <item sd="0" x="10"/>
        <item x="19"/>
        <item x="21"/>
        <item x="25"/>
        <item x="20"/>
        <item x="9"/>
        <item x="4"/>
        <item x="1"/>
        <item x="23"/>
        <item x="13"/>
        <item x="26"/>
        <item x="24"/>
        <item x="2"/>
        <item x="16"/>
        <item x="12"/>
        <item x="11"/>
        <item x="3"/>
        <item x="29"/>
        <item x="7"/>
        <item x="5"/>
        <item x="6"/>
        <item x="17"/>
        <item x="18"/>
        <item x="22"/>
        <item x="15"/>
        <item x="8"/>
        <item x="27"/>
        <item x="14"/>
        <item x="28"/>
        <item t="default"/>
      </items>
    </pivotField>
    <pivotField axis="axisPage" showAll="0">
      <items count="3">
        <item x="0"/>
        <item x="1"/>
        <item t="default"/>
      </items>
    </pivotField>
    <pivotField dataField="1" showAll="0"/>
    <pivotField dataField="1" showAll="0"/>
    <pivotField showAll="0"/>
    <pivotField dataField="1" showAll="0"/>
    <pivotField axis="axisCol" showAll="0">
      <items count="2">
        <item x="0"/>
        <item t="default"/>
      </items>
    </pivotField>
    <pivotField showAll="0">
      <items count="2">
        <item x="0"/>
        <item t="default"/>
      </items>
    </pivotField>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Fields count="2">
    <field x="7"/>
    <field x="-2"/>
  </colFields>
  <colItems count="6">
    <i>
      <x/>
      <x/>
    </i>
    <i r="1" i="1">
      <x v="1"/>
    </i>
    <i r="1" i="2">
      <x v="2"/>
    </i>
    <i t="grand">
      <x/>
    </i>
    <i t="grand" i="1">
      <x/>
    </i>
    <i t="grand" i="2">
      <x/>
    </i>
  </colItems>
  <pageFields count="1">
    <pageField fld="2" hier="-1"/>
  </pageFields>
  <dataFields count="3">
    <dataField name="Sum of Toplam Yartılan" fld="4" baseField="0" baseItem="0"/>
    <dataField name="Sum of Önceki Bakiye" fld="3" baseField="0" baseItem="0"/>
    <dataField name="Sum of Güncel Bakiye" fld="6" baseField="0" baseItem="0"/>
  </dataFields>
  <chartFormats count="6">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1"/>
          </reference>
          <reference field="7" count="1" selected="0">
            <x v="0"/>
          </reference>
        </references>
      </pivotArea>
    </chartFormat>
    <chartFormat chart="0" format="2" series="1">
      <pivotArea type="data" outline="0" fieldPosition="0">
        <references count="2">
          <reference field="4294967294" count="1" selected="0">
            <x v="2"/>
          </reference>
          <reference field="7" count="1" selected="0">
            <x v="0"/>
          </reference>
        </references>
      </pivotArea>
    </chartFormat>
    <chartFormat chart="4" format="6" series="1">
      <pivotArea type="data" outline="0" fieldPosition="0">
        <references count="2">
          <reference field="4294967294" count="1" selected="0">
            <x v="0"/>
          </reference>
          <reference field="7" count="1" selected="0">
            <x v="0"/>
          </reference>
        </references>
      </pivotArea>
    </chartFormat>
    <chartFormat chart="4" format="7" series="1">
      <pivotArea type="data" outline="0" fieldPosition="0">
        <references count="2">
          <reference field="4294967294" count="1" selected="0">
            <x v="1"/>
          </reference>
          <reference field="7" count="1" selected="0">
            <x v="0"/>
          </reference>
        </references>
      </pivotArea>
    </chartFormat>
    <chartFormat chart="4" format="8" series="1">
      <pivotArea type="data" outline="0" fieldPosition="0">
        <references count="2">
          <reference field="4294967294" count="1" selected="0">
            <x v="2"/>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üşteri_Adı_Soyadı" xr10:uid="{E532C4AD-04B2-44D0-A9B1-EEC9DF7BD381}" sourceName="Müşteri Adı Soyadı">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esap_Türü" xr10:uid="{E0AE5D61-9783-4FCF-819D-F568955C554E}" sourceName="Hesap Türü">
  <extLst>
    <x:ext xmlns:x15="http://schemas.microsoft.com/office/spreadsheetml/2010/11/main" uri="{2F2917AC-EB37-4324-AD4E-5DD8C200BD13}">
      <x15:tableSlicerCache tableId="1"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üşteri Adı Soyadı" xr10:uid="{BD6B3622-AED1-4C34-B366-0EAB3648C700}" cache="Slicer_Müşteri_Adı_Soyadı" caption="Müşteri Adı Soyadı" style="SlicerStyleOther2" rowHeight="247650"/>
  <slicer name="Hesap Türü" xr10:uid="{89E72859-4E0D-41ED-A4CD-FA87AE837BEE}" cache="Slicer_Hesap_Türü" caption="Hesap Türü" style="SlicerStyleOther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5FB284B-8892-4A14-9373-A0102B8F170A}" name="Table10" displayName="Table10" ref="I5:L35" totalsRowShown="0">
  <autoFilter ref="I5:L35" xr:uid="{55FB284B-8892-4A14-9373-A0102B8F170A}">
    <filterColumn colId="0" hiddenButton="1"/>
    <filterColumn colId="1" hiddenButton="1"/>
    <filterColumn colId="2" hiddenButton="1"/>
    <filterColumn colId="3" hiddenButton="1"/>
  </autoFilter>
  <tableColumns count="4">
    <tableColumn id="1" xr3:uid="{C710B75B-82C9-4819-99F5-1AAC3D370EF6}" name="Müşteri Numarası"/>
    <tableColumn id="2" xr3:uid="{3B5C06CC-716C-4A3D-8E85-3203BB8F4C92}" name="Müşteri Adı Soyadı"/>
    <tableColumn id="3" xr3:uid="{DE9AB48F-DE49-4C47-AAA9-590B9238CDA6}" name="Hesap Türü"/>
    <tableColumn id="4" xr3:uid="{15927B5D-568F-4B25-846F-B99C9EB596CF}" name="Güncel Bakiye"/>
  </tableColumns>
  <tableStyleInfo name="TableStyleLight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EA61599-E3C4-4925-8C21-1A90EF8653AA}" name="Table1" displayName="Table1" ref="I5:Q36" totalsRowCount="1">
  <autoFilter ref="I5:Q35" xr:uid="{FEA61599-E3C4-4925-8C21-1A90EF8653A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64D37B42-1C9E-4A21-A1A9-1DDDAE5E669B}" name="Müşteri Numarası"/>
    <tableColumn id="2" xr3:uid="{86667824-CA1B-42F0-B4B8-E96D3225C79F}" name="Müşteri Adı Soyadı"/>
    <tableColumn id="3" xr3:uid="{F30E7586-81F9-4BB0-8EE7-58E762716E18}" name="Hesap Türü" dataDxfId="5" totalsRowDxfId="4"/>
    <tableColumn id="4" xr3:uid="{DDA1A895-FAA0-41D8-9183-3F036BF8B436}" name="Önceki Bakiye"/>
    <tableColumn id="5" xr3:uid="{51CCEC93-815D-49CB-A3C2-2248273A06AD}" name="Toplam Yartılan"/>
    <tableColumn id="6" xr3:uid="{F68EA8CC-353F-4022-BD46-CFCBF9F3E22F}" name="Toplam Çekilen"/>
    <tableColumn id="7" xr3:uid="{5F9C0E88-7EC4-483B-A61D-5526714DD176}" name="Güncel Bakiye" totalsRowFunction="custom">
      <calculatedColumnFormula>L6+M6-N6</calculatedColumnFormula>
      <totalsRowFormula>SUM(O6,O35)</totalsRowFormula>
    </tableColumn>
    <tableColumn id="8" xr3:uid="{DF1B1EDF-B4D6-425F-9FB7-0469D9C53AF0}" name="Hesap Durumu">
      <calculatedColumnFormula>IF(O6&lt;10000,"Düşük Bakiye","Aktif")</calculatedColumnFormula>
    </tableColumn>
    <tableColumn id="9" xr3:uid="{2F382CF9-21A7-41EA-BC05-2E13B569623F}" name="Para Birimi"/>
  </tableColumns>
  <tableStyleInfo name="TableStyleDark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table" Target="../tables/table1.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3E00D-D541-4393-BB3C-A003DF62A1C3}">
  <sheetPr>
    <tabColor rgb="FF00B0F0"/>
  </sheetPr>
  <dimension ref="A1:G36"/>
  <sheetViews>
    <sheetView workbookViewId="0">
      <selection activeCell="A3" sqref="A3"/>
    </sheetView>
  </sheetViews>
  <sheetFormatPr defaultRowHeight="14.4" x14ac:dyDescent="0.3"/>
  <cols>
    <col min="1" max="1" width="13.77734375" bestFit="1" customWidth="1"/>
    <col min="2" max="2" width="20.21875" bestFit="1" customWidth="1"/>
    <col min="3" max="4" width="19" bestFit="1" customWidth="1"/>
    <col min="5" max="5" width="24.77734375" bestFit="1" customWidth="1"/>
    <col min="6" max="7" width="23.5546875" bestFit="1" customWidth="1"/>
  </cols>
  <sheetData>
    <row r="1" spans="1:7" x14ac:dyDescent="0.3">
      <c r="A1" s="6" t="s">
        <v>32</v>
      </c>
      <c r="B1" t="s">
        <v>58</v>
      </c>
    </row>
    <row r="3" spans="1:7" x14ac:dyDescent="0.3">
      <c r="B3" s="6" t="s">
        <v>57</v>
      </c>
    </row>
    <row r="4" spans="1:7" x14ac:dyDescent="0.3">
      <c r="B4" t="s">
        <v>53</v>
      </c>
      <c r="E4" t="s">
        <v>59</v>
      </c>
      <c r="F4" t="s">
        <v>60</v>
      </c>
      <c r="G4" t="s">
        <v>61</v>
      </c>
    </row>
    <row r="5" spans="1:7" x14ac:dyDescent="0.3">
      <c r="A5" s="6" t="s">
        <v>51</v>
      </c>
      <c r="B5" t="s">
        <v>56</v>
      </c>
      <c r="C5" t="s">
        <v>55</v>
      </c>
      <c r="D5" t="s">
        <v>54</v>
      </c>
    </row>
    <row r="6" spans="1:7" x14ac:dyDescent="0.3">
      <c r="A6" s="7" t="s">
        <v>0</v>
      </c>
      <c r="B6">
        <v>50000</v>
      </c>
      <c r="C6">
        <v>7000</v>
      </c>
      <c r="D6">
        <v>54000</v>
      </c>
      <c r="E6">
        <v>50000</v>
      </c>
      <c r="F6">
        <v>7000</v>
      </c>
      <c r="G6">
        <v>54000</v>
      </c>
    </row>
    <row r="7" spans="1:7" x14ac:dyDescent="0.3">
      <c r="A7" s="7" t="s">
        <v>10</v>
      </c>
      <c r="B7">
        <v>100000</v>
      </c>
      <c r="C7">
        <v>844670</v>
      </c>
      <c r="D7">
        <v>938670</v>
      </c>
      <c r="E7">
        <v>100000</v>
      </c>
      <c r="F7">
        <v>844670</v>
      </c>
      <c r="G7">
        <v>938670</v>
      </c>
    </row>
    <row r="8" spans="1:7" x14ac:dyDescent="0.3">
      <c r="A8" s="7" t="s">
        <v>19</v>
      </c>
      <c r="B8">
        <v>4668898</v>
      </c>
      <c r="C8">
        <v>67779</v>
      </c>
      <c r="D8">
        <v>4728677</v>
      </c>
      <c r="E8">
        <v>4668898</v>
      </c>
      <c r="F8">
        <v>67779</v>
      </c>
      <c r="G8">
        <v>4728677</v>
      </c>
    </row>
    <row r="9" spans="1:7" x14ac:dyDescent="0.3">
      <c r="A9" s="7" t="s">
        <v>21</v>
      </c>
      <c r="B9">
        <v>600000</v>
      </c>
      <c r="C9">
        <v>7000</v>
      </c>
      <c r="D9">
        <v>591000</v>
      </c>
      <c r="E9">
        <v>600000</v>
      </c>
      <c r="F9">
        <v>7000</v>
      </c>
      <c r="G9">
        <v>591000</v>
      </c>
    </row>
    <row r="10" spans="1:7" x14ac:dyDescent="0.3">
      <c r="A10" s="7" t="s">
        <v>25</v>
      </c>
      <c r="B10">
        <v>800009</v>
      </c>
      <c r="C10">
        <v>33800</v>
      </c>
      <c r="D10">
        <v>824809</v>
      </c>
      <c r="E10">
        <v>800009</v>
      </c>
      <c r="F10">
        <v>33800</v>
      </c>
      <c r="G10">
        <v>824809</v>
      </c>
    </row>
    <row r="11" spans="1:7" x14ac:dyDescent="0.3">
      <c r="A11" s="7" t="s">
        <v>20</v>
      </c>
      <c r="B11">
        <v>677889</v>
      </c>
      <c r="C11">
        <v>234987</v>
      </c>
      <c r="D11">
        <v>878326</v>
      </c>
      <c r="E11">
        <v>677889</v>
      </c>
      <c r="F11">
        <v>234987</v>
      </c>
      <c r="G11">
        <v>878326</v>
      </c>
    </row>
    <row r="12" spans="1:7" x14ac:dyDescent="0.3">
      <c r="A12" s="7" t="s">
        <v>9</v>
      </c>
      <c r="B12">
        <v>90000</v>
      </c>
      <c r="C12">
        <v>345678</v>
      </c>
      <c r="D12">
        <v>431178</v>
      </c>
      <c r="E12">
        <v>90000</v>
      </c>
      <c r="F12">
        <v>345678</v>
      </c>
      <c r="G12">
        <v>431178</v>
      </c>
    </row>
    <row r="13" spans="1:7" x14ac:dyDescent="0.3">
      <c r="A13" s="7" t="s">
        <v>4</v>
      </c>
      <c r="B13">
        <v>40000</v>
      </c>
      <c r="C13">
        <v>33800</v>
      </c>
      <c r="D13">
        <v>68200</v>
      </c>
      <c r="E13">
        <v>40000</v>
      </c>
      <c r="F13">
        <v>33800</v>
      </c>
      <c r="G13">
        <v>68200</v>
      </c>
    </row>
    <row r="14" spans="1:7" x14ac:dyDescent="0.3">
      <c r="A14" s="7" t="s">
        <v>1</v>
      </c>
      <c r="B14">
        <v>29000</v>
      </c>
      <c r="C14">
        <v>5000</v>
      </c>
      <c r="D14">
        <v>31100</v>
      </c>
      <c r="E14">
        <v>29000</v>
      </c>
      <c r="F14">
        <v>5000</v>
      </c>
      <c r="G14">
        <v>31100</v>
      </c>
    </row>
    <row r="15" spans="1:7" x14ac:dyDescent="0.3">
      <c r="A15" s="7" t="s">
        <v>23</v>
      </c>
      <c r="B15">
        <v>890000</v>
      </c>
      <c r="C15">
        <v>29000</v>
      </c>
      <c r="D15">
        <v>910100</v>
      </c>
      <c r="E15">
        <v>890000</v>
      </c>
      <c r="F15">
        <v>29000</v>
      </c>
      <c r="G15">
        <v>910100</v>
      </c>
    </row>
    <row r="16" spans="1:7" x14ac:dyDescent="0.3">
      <c r="A16" s="7" t="s">
        <v>13</v>
      </c>
      <c r="B16">
        <v>67899</v>
      </c>
      <c r="C16">
        <v>779809</v>
      </c>
      <c r="D16">
        <v>843703</v>
      </c>
      <c r="E16">
        <v>67899</v>
      </c>
      <c r="F16">
        <v>779809</v>
      </c>
      <c r="G16">
        <v>843703</v>
      </c>
    </row>
    <row r="17" spans="1:7" x14ac:dyDescent="0.3">
      <c r="A17" s="7" t="s">
        <v>26</v>
      </c>
      <c r="B17">
        <v>567821</v>
      </c>
      <c r="C17">
        <v>40000</v>
      </c>
      <c r="D17">
        <v>602143</v>
      </c>
      <c r="E17">
        <v>567821</v>
      </c>
      <c r="F17">
        <v>40000</v>
      </c>
      <c r="G17">
        <v>602143</v>
      </c>
    </row>
    <row r="18" spans="1:7" x14ac:dyDescent="0.3">
      <c r="A18" s="7" t="s">
        <v>24</v>
      </c>
      <c r="B18">
        <v>500000</v>
      </c>
      <c r="C18">
        <v>30000</v>
      </c>
      <c r="D18">
        <v>522000</v>
      </c>
      <c r="E18">
        <v>500000</v>
      </c>
      <c r="F18">
        <v>30000</v>
      </c>
      <c r="G18">
        <v>522000</v>
      </c>
    </row>
    <row r="19" spans="1:7" x14ac:dyDescent="0.3">
      <c r="A19" s="7" t="s">
        <v>2</v>
      </c>
      <c r="B19">
        <v>30000</v>
      </c>
      <c r="C19">
        <v>29000</v>
      </c>
      <c r="D19">
        <v>55600</v>
      </c>
      <c r="E19">
        <v>30000</v>
      </c>
      <c r="F19">
        <v>29000</v>
      </c>
      <c r="G19">
        <v>55600</v>
      </c>
    </row>
    <row r="20" spans="1:7" x14ac:dyDescent="0.3">
      <c r="A20" s="7" t="s">
        <v>16</v>
      </c>
      <c r="B20">
        <v>909067</v>
      </c>
      <c r="C20">
        <v>123445</v>
      </c>
      <c r="D20">
        <v>1031312</v>
      </c>
      <c r="E20">
        <v>909067</v>
      </c>
      <c r="F20">
        <v>123445</v>
      </c>
      <c r="G20">
        <v>1031312</v>
      </c>
    </row>
    <row r="21" spans="1:7" x14ac:dyDescent="0.3">
      <c r="A21" s="7" t="s">
        <v>12</v>
      </c>
      <c r="B21">
        <v>567890</v>
      </c>
      <c r="C21">
        <v>7837367</v>
      </c>
      <c r="D21">
        <v>8392917</v>
      </c>
      <c r="E21">
        <v>567890</v>
      </c>
      <c r="F21">
        <v>7837367</v>
      </c>
      <c r="G21">
        <v>8392917</v>
      </c>
    </row>
    <row r="22" spans="1:7" x14ac:dyDescent="0.3">
      <c r="A22" s="7" t="s">
        <v>11</v>
      </c>
      <c r="B22">
        <v>345678</v>
      </c>
      <c r="C22">
        <v>457388</v>
      </c>
      <c r="D22">
        <v>796066</v>
      </c>
      <c r="E22">
        <v>345678</v>
      </c>
      <c r="F22">
        <v>457388</v>
      </c>
      <c r="G22">
        <v>796066</v>
      </c>
    </row>
    <row r="23" spans="1:7" x14ac:dyDescent="0.3">
      <c r="A23" s="7" t="s">
        <v>3</v>
      </c>
      <c r="B23">
        <v>33800</v>
      </c>
      <c r="C23">
        <v>30000</v>
      </c>
      <c r="D23">
        <v>59800</v>
      </c>
      <c r="E23">
        <v>33800</v>
      </c>
      <c r="F23">
        <v>30000</v>
      </c>
      <c r="G23">
        <v>59800</v>
      </c>
    </row>
    <row r="24" spans="1:7" x14ac:dyDescent="0.3">
      <c r="A24" s="7" t="s">
        <v>29</v>
      </c>
      <c r="B24">
        <v>3000089</v>
      </c>
      <c r="C24">
        <v>456789</v>
      </c>
      <c r="D24">
        <v>3449878</v>
      </c>
      <c r="E24">
        <v>3000089</v>
      </c>
      <c r="F24">
        <v>456789</v>
      </c>
      <c r="G24">
        <v>3449878</v>
      </c>
    </row>
    <row r="25" spans="1:7" x14ac:dyDescent="0.3">
      <c r="A25" s="7" t="s">
        <v>7</v>
      </c>
      <c r="B25">
        <v>456778</v>
      </c>
      <c r="C25">
        <v>100000</v>
      </c>
      <c r="D25">
        <v>516728</v>
      </c>
      <c r="E25">
        <v>456778</v>
      </c>
      <c r="F25">
        <v>100000</v>
      </c>
      <c r="G25">
        <v>516728</v>
      </c>
    </row>
    <row r="26" spans="1:7" x14ac:dyDescent="0.3">
      <c r="A26" s="7" t="s">
        <v>5</v>
      </c>
      <c r="B26">
        <v>20000</v>
      </c>
      <c r="C26">
        <v>40000</v>
      </c>
      <c r="D26">
        <v>59000</v>
      </c>
      <c r="E26">
        <v>20000</v>
      </c>
      <c r="F26">
        <v>40000</v>
      </c>
      <c r="G26">
        <v>59000</v>
      </c>
    </row>
    <row r="27" spans="1:7" x14ac:dyDescent="0.3">
      <c r="A27" s="7" t="s">
        <v>6</v>
      </c>
      <c r="B27">
        <v>40000</v>
      </c>
      <c r="C27">
        <v>20000</v>
      </c>
      <c r="D27">
        <v>57800</v>
      </c>
      <c r="E27">
        <v>40000</v>
      </c>
      <c r="F27">
        <v>20000</v>
      </c>
      <c r="G27">
        <v>57800</v>
      </c>
    </row>
    <row r="28" spans="1:7" x14ac:dyDescent="0.3">
      <c r="A28" s="7" t="s">
        <v>17</v>
      </c>
      <c r="B28">
        <v>234556</v>
      </c>
      <c r="C28">
        <v>876467</v>
      </c>
      <c r="D28">
        <v>1107573</v>
      </c>
      <c r="E28">
        <v>234556</v>
      </c>
      <c r="F28">
        <v>876467</v>
      </c>
      <c r="G28">
        <v>1107573</v>
      </c>
    </row>
    <row r="29" spans="1:7" x14ac:dyDescent="0.3">
      <c r="A29" s="7" t="s">
        <v>18</v>
      </c>
      <c r="B29">
        <v>298765</v>
      </c>
      <c r="C29">
        <v>908776</v>
      </c>
      <c r="D29">
        <v>1202541</v>
      </c>
      <c r="E29">
        <v>298765</v>
      </c>
      <c r="F29">
        <v>908776</v>
      </c>
      <c r="G29">
        <v>1202541</v>
      </c>
    </row>
    <row r="30" spans="1:7" x14ac:dyDescent="0.3">
      <c r="A30" s="7" t="s">
        <v>22</v>
      </c>
      <c r="B30">
        <v>677890</v>
      </c>
      <c r="C30">
        <v>5000</v>
      </c>
      <c r="D30">
        <v>676190</v>
      </c>
      <c r="E30">
        <v>677890</v>
      </c>
      <c r="F30">
        <v>5000</v>
      </c>
      <c r="G30">
        <v>676190</v>
      </c>
    </row>
    <row r="31" spans="1:7" x14ac:dyDescent="0.3">
      <c r="A31" s="7" t="s">
        <v>15</v>
      </c>
      <c r="B31">
        <v>456789</v>
      </c>
      <c r="C31">
        <v>98765</v>
      </c>
      <c r="D31">
        <v>551054</v>
      </c>
      <c r="E31">
        <v>456789</v>
      </c>
      <c r="F31">
        <v>98765</v>
      </c>
      <c r="G31">
        <v>551054</v>
      </c>
    </row>
    <row r="32" spans="1:7" x14ac:dyDescent="0.3">
      <c r="A32" s="7" t="s">
        <v>8</v>
      </c>
      <c r="B32">
        <v>78890</v>
      </c>
      <c r="C32">
        <v>20983</v>
      </c>
      <c r="D32">
        <v>94873</v>
      </c>
      <c r="E32">
        <v>78890</v>
      </c>
      <c r="F32">
        <v>20983</v>
      </c>
      <c r="G32">
        <v>94873</v>
      </c>
    </row>
    <row r="33" spans="1:7" x14ac:dyDescent="0.3">
      <c r="A33" s="7" t="s">
        <v>27</v>
      </c>
      <c r="B33">
        <v>890000</v>
      </c>
      <c r="C33">
        <v>45678</v>
      </c>
      <c r="D33">
        <v>929778</v>
      </c>
      <c r="E33">
        <v>890000</v>
      </c>
      <c r="F33">
        <v>45678</v>
      </c>
      <c r="G33">
        <v>929778</v>
      </c>
    </row>
    <row r="34" spans="1:7" x14ac:dyDescent="0.3">
      <c r="A34" s="7" t="s">
        <v>14</v>
      </c>
      <c r="B34">
        <v>345689</v>
      </c>
      <c r="C34">
        <v>567898</v>
      </c>
      <c r="D34">
        <v>905897</v>
      </c>
      <c r="E34">
        <v>345689</v>
      </c>
      <c r="F34">
        <v>567898</v>
      </c>
      <c r="G34">
        <v>905897</v>
      </c>
    </row>
    <row r="35" spans="1:7" x14ac:dyDescent="0.3">
      <c r="A35" s="7" t="s">
        <v>28</v>
      </c>
      <c r="B35">
        <v>409000</v>
      </c>
      <c r="C35">
        <v>234567</v>
      </c>
      <c r="D35">
        <v>635677</v>
      </c>
      <c r="E35">
        <v>409000</v>
      </c>
      <c r="F35">
        <v>234567</v>
      </c>
      <c r="G35">
        <v>635677</v>
      </c>
    </row>
    <row r="36" spans="1:7" x14ac:dyDescent="0.3">
      <c r="A36" s="7" t="s">
        <v>52</v>
      </c>
      <c r="B36">
        <v>17876397</v>
      </c>
      <c r="C36">
        <v>14310646</v>
      </c>
      <c r="D36">
        <v>31946590</v>
      </c>
      <c r="E36">
        <v>17876397</v>
      </c>
      <c r="F36">
        <v>14310646</v>
      </c>
      <c r="G36">
        <v>31946590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6BD4A-65FC-405B-8354-4D4045D0D014}">
  <sheetPr>
    <tabColor theme="8" tint="-0.499984740745262"/>
  </sheetPr>
  <dimension ref="B2:L35"/>
  <sheetViews>
    <sheetView rightToLeft="1" tabSelected="1" workbookViewId="0">
      <selection activeCell="J11" sqref="J11"/>
    </sheetView>
  </sheetViews>
  <sheetFormatPr defaultRowHeight="14.4" x14ac:dyDescent="0.3"/>
  <cols>
    <col min="2" max="2" width="17.109375" customWidth="1"/>
    <col min="3" max="3" width="20.6640625" bestFit="1" customWidth="1"/>
    <col min="4" max="4" width="12" customWidth="1"/>
    <col min="5" max="5" width="14.21875" customWidth="1"/>
    <col min="6" max="6" width="10.21875" bestFit="1" customWidth="1"/>
    <col min="9" max="9" width="15.77734375" bestFit="1" customWidth="1"/>
    <col min="10" max="10" width="16.44140625" bestFit="1" customWidth="1"/>
    <col min="11" max="11" width="10.21875" bestFit="1" customWidth="1"/>
    <col min="12" max="12" width="12.77734375" bestFit="1" customWidth="1"/>
  </cols>
  <sheetData>
    <row r="2" spans="2:12" x14ac:dyDescent="0.3">
      <c r="I2" s="9" t="s">
        <v>65</v>
      </c>
      <c r="J2" s="10"/>
      <c r="K2" s="10"/>
      <c r="L2" s="10"/>
    </row>
    <row r="3" spans="2:12" x14ac:dyDescent="0.3">
      <c r="I3" s="10"/>
      <c r="J3" s="10"/>
      <c r="K3" s="10"/>
      <c r="L3" s="10"/>
    </row>
    <row r="5" spans="2:12" x14ac:dyDescent="0.3">
      <c r="I5" t="s">
        <v>34</v>
      </c>
      <c r="J5" t="s">
        <v>33</v>
      </c>
      <c r="K5" t="s">
        <v>32</v>
      </c>
      <c r="L5" t="s">
        <v>38</v>
      </c>
    </row>
    <row r="6" spans="2:12" x14ac:dyDescent="0.3">
      <c r="B6" t="str" cm="1">
        <f t="array" ref="B6">INDEX(Table10[Müşteri Adı Soyadı],D6)</f>
        <v>batuhan duran</v>
      </c>
      <c r="C6" s="8" t="s">
        <v>64</v>
      </c>
      <c r="D6">
        <v>22</v>
      </c>
      <c r="E6" s="8" t="s">
        <v>63</v>
      </c>
      <c r="I6">
        <v>1001</v>
      </c>
      <c r="J6" t="s">
        <v>0</v>
      </c>
      <c r="K6" t="s">
        <v>30</v>
      </c>
      <c r="L6">
        <v>54000</v>
      </c>
    </row>
    <row r="7" spans="2:12" x14ac:dyDescent="0.3">
      <c r="I7">
        <v>1002</v>
      </c>
      <c r="J7" t="s">
        <v>1</v>
      </c>
      <c r="K7" t="s">
        <v>31</v>
      </c>
      <c r="L7">
        <v>31100</v>
      </c>
    </row>
    <row r="8" spans="2:12" x14ac:dyDescent="0.3">
      <c r="I8">
        <v>1003</v>
      </c>
      <c r="J8" t="s">
        <v>2</v>
      </c>
      <c r="K8" t="s">
        <v>30</v>
      </c>
      <c r="L8">
        <v>55600</v>
      </c>
    </row>
    <row r="9" spans="2:12" x14ac:dyDescent="0.3">
      <c r="I9">
        <v>1004</v>
      </c>
      <c r="J9" t="s">
        <v>3</v>
      </c>
      <c r="K9" t="s">
        <v>31</v>
      </c>
      <c r="L9">
        <v>59800</v>
      </c>
    </row>
    <row r="10" spans="2:12" x14ac:dyDescent="0.3">
      <c r="I10">
        <v>1005</v>
      </c>
      <c r="J10" t="s">
        <v>4</v>
      </c>
      <c r="K10" t="s">
        <v>30</v>
      </c>
      <c r="L10">
        <v>68200</v>
      </c>
    </row>
    <row r="11" spans="2:12" x14ac:dyDescent="0.3">
      <c r="I11">
        <v>1006</v>
      </c>
      <c r="J11" t="s">
        <v>5</v>
      </c>
      <c r="K11" t="s">
        <v>31</v>
      </c>
      <c r="L11">
        <v>59000</v>
      </c>
    </row>
    <row r="12" spans="2:12" x14ac:dyDescent="0.3">
      <c r="I12">
        <v>1007</v>
      </c>
      <c r="J12" t="s">
        <v>6</v>
      </c>
      <c r="K12" t="s">
        <v>30</v>
      </c>
      <c r="L12">
        <v>57800</v>
      </c>
    </row>
    <row r="13" spans="2:12" x14ac:dyDescent="0.3">
      <c r="I13">
        <v>1008</v>
      </c>
      <c r="J13" t="s">
        <v>7</v>
      </c>
      <c r="K13" t="s">
        <v>31</v>
      </c>
      <c r="L13">
        <v>516728</v>
      </c>
    </row>
    <row r="14" spans="2:12" x14ac:dyDescent="0.3">
      <c r="I14">
        <v>1009</v>
      </c>
      <c r="J14" t="s">
        <v>8</v>
      </c>
      <c r="K14" t="s">
        <v>30</v>
      </c>
      <c r="L14">
        <v>94873</v>
      </c>
    </row>
    <row r="15" spans="2:12" x14ac:dyDescent="0.3">
      <c r="I15">
        <v>1010</v>
      </c>
      <c r="J15" t="s">
        <v>9</v>
      </c>
      <c r="K15" t="s">
        <v>31</v>
      </c>
      <c r="L15">
        <v>431178</v>
      </c>
    </row>
    <row r="16" spans="2:12" x14ac:dyDescent="0.3">
      <c r="I16">
        <v>1011</v>
      </c>
      <c r="J16" t="s">
        <v>10</v>
      </c>
      <c r="K16" t="s">
        <v>30</v>
      </c>
      <c r="L16">
        <v>938670</v>
      </c>
    </row>
    <row r="17" spans="9:12" x14ac:dyDescent="0.3">
      <c r="I17">
        <v>1012</v>
      </c>
      <c r="J17" t="s">
        <v>11</v>
      </c>
      <c r="K17" t="s">
        <v>31</v>
      </c>
      <c r="L17">
        <v>796066</v>
      </c>
    </row>
    <row r="18" spans="9:12" x14ac:dyDescent="0.3">
      <c r="I18">
        <v>1013</v>
      </c>
      <c r="J18" t="s">
        <v>12</v>
      </c>
      <c r="K18" t="s">
        <v>30</v>
      </c>
      <c r="L18">
        <v>8392917</v>
      </c>
    </row>
    <row r="19" spans="9:12" x14ac:dyDescent="0.3">
      <c r="I19">
        <v>1014</v>
      </c>
      <c r="J19" t="s">
        <v>13</v>
      </c>
      <c r="K19" t="s">
        <v>31</v>
      </c>
      <c r="L19">
        <v>843703</v>
      </c>
    </row>
    <row r="20" spans="9:12" x14ac:dyDescent="0.3">
      <c r="I20">
        <v>1015</v>
      </c>
      <c r="J20" t="s">
        <v>14</v>
      </c>
      <c r="K20" t="s">
        <v>30</v>
      </c>
      <c r="L20">
        <v>905897</v>
      </c>
    </row>
    <row r="21" spans="9:12" x14ac:dyDescent="0.3">
      <c r="I21">
        <v>1016</v>
      </c>
      <c r="J21" t="s">
        <v>15</v>
      </c>
      <c r="K21" t="s">
        <v>31</v>
      </c>
      <c r="L21">
        <v>551054</v>
      </c>
    </row>
    <row r="22" spans="9:12" x14ac:dyDescent="0.3">
      <c r="I22">
        <v>1017</v>
      </c>
      <c r="J22" t="s">
        <v>16</v>
      </c>
      <c r="K22" t="s">
        <v>30</v>
      </c>
      <c r="L22">
        <v>1031312</v>
      </c>
    </row>
    <row r="23" spans="9:12" x14ac:dyDescent="0.3">
      <c r="I23">
        <v>1018</v>
      </c>
      <c r="J23" t="s">
        <v>17</v>
      </c>
      <c r="K23" t="s">
        <v>31</v>
      </c>
      <c r="L23">
        <v>1107573</v>
      </c>
    </row>
    <row r="24" spans="9:12" x14ac:dyDescent="0.3">
      <c r="I24">
        <v>1019</v>
      </c>
      <c r="J24" t="s">
        <v>18</v>
      </c>
      <c r="K24" t="s">
        <v>30</v>
      </c>
      <c r="L24">
        <v>1202541</v>
      </c>
    </row>
    <row r="25" spans="9:12" x14ac:dyDescent="0.3">
      <c r="I25">
        <v>1020</v>
      </c>
      <c r="J25" t="s">
        <v>19</v>
      </c>
      <c r="K25" t="s">
        <v>31</v>
      </c>
      <c r="L25">
        <v>4728677</v>
      </c>
    </row>
    <row r="26" spans="9:12" x14ac:dyDescent="0.3">
      <c r="I26">
        <v>1021</v>
      </c>
      <c r="J26" t="s">
        <v>20</v>
      </c>
      <c r="K26" t="s">
        <v>30</v>
      </c>
      <c r="L26">
        <v>878326</v>
      </c>
    </row>
    <row r="27" spans="9:12" x14ac:dyDescent="0.3">
      <c r="I27">
        <v>1022</v>
      </c>
      <c r="J27" t="s">
        <v>21</v>
      </c>
      <c r="K27" t="s">
        <v>31</v>
      </c>
      <c r="L27">
        <v>591000</v>
      </c>
    </row>
    <row r="28" spans="9:12" x14ac:dyDescent="0.3">
      <c r="I28">
        <v>1023</v>
      </c>
      <c r="J28" t="s">
        <v>22</v>
      </c>
      <c r="K28" t="s">
        <v>30</v>
      </c>
      <c r="L28">
        <v>676190</v>
      </c>
    </row>
    <row r="29" spans="9:12" x14ac:dyDescent="0.3">
      <c r="I29">
        <v>1024</v>
      </c>
      <c r="J29" t="s">
        <v>23</v>
      </c>
      <c r="K29" t="s">
        <v>31</v>
      </c>
      <c r="L29">
        <v>910100</v>
      </c>
    </row>
    <row r="30" spans="9:12" x14ac:dyDescent="0.3">
      <c r="I30">
        <v>1025</v>
      </c>
      <c r="J30" t="s">
        <v>24</v>
      </c>
      <c r="K30" t="s">
        <v>30</v>
      </c>
      <c r="L30">
        <v>522000</v>
      </c>
    </row>
    <row r="31" spans="9:12" x14ac:dyDescent="0.3">
      <c r="I31">
        <v>1026</v>
      </c>
      <c r="J31" t="s">
        <v>25</v>
      </c>
      <c r="K31" t="s">
        <v>31</v>
      </c>
      <c r="L31">
        <v>824809</v>
      </c>
    </row>
    <row r="32" spans="9:12" x14ac:dyDescent="0.3">
      <c r="I32">
        <v>1027</v>
      </c>
      <c r="J32" t="s">
        <v>26</v>
      </c>
      <c r="K32" t="s">
        <v>30</v>
      </c>
      <c r="L32">
        <v>602143</v>
      </c>
    </row>
    <row r="33" spans="9:12" x14ac:dyDescent="0.3">
      <c r="I33">
        <v>1028</v>
      </c>
      <c r="J33" t="s">
        <v>27</v>
      </c>
      <c r="K33" t="s">
        <v>31</v>
      </c>
      <c r="L33">
        <v>929778</v>
      </c>
    </row>
    <row r="34" spans="9:12" x14ac:dyDescent="0.3">
      <c r="I34">
        <v>1029</v>
      </c>
      <c r="J34" t="s">
        <v>28</v>
      </c>
      <c r="K34" t="s">
        <v>30</v>
      </c>
      <c r="L34">
        <v>635677</v>
      </c>
    </row>
    <row r="35" spans="9:12" x14ac:dyDescent="0.3">
      <c r="I35">
        <v>1030</v>
      </c>
      <c r="J35" t="s">
        <v>29</v>
      </c>
      <c r="K35" t="s">
        <v>31</v>
      </c>
      <c r="L35">
        <v>3449878</v>
      </c>
    </row>
  </sheetData>
  <mergeCells count="1">
    <mergeCell ref="I2:L3"/>
  </mergeCells>
  <conditionalFormatting sqref="L6:L35">
    <cfRule type="iconSet" priority="1">
      <iconSet iconSet="4Arrows">
        <cfvo type="percent" val="0"/>
        <cfvo type="num" val="30000"/>
        <cfvo type="num" val="80000" gte="0"/>
        <cfvo type="num" val="120000"/>
      </iconSet>
    </cfRule>
    <cfRule type="iconSet" priority="2">
      <iconSet iconSet="4Arrows">
        <cfvo type="percent" val="0"/>
        <cfvo type="num" val="0"/>
        <cfvo type="num" val="0"/>
        <cfvo type="num" val="10000"/>
      </iconSet>
    </cfRule>
    <cfRule type="iconSet" priority="4">
      <iconSet iconSet="4Arrows">
        <cfvo type="percent" val="0"/>
        <cfvo type="percent" val="$L$19" gte="0"/>
        <cfvo type="percent" val="$L$7" gte="0"/>
        <cfvo type="percent" val="$L$24"/>
      </iconSet>
    </cfRule>
    <cfRule type="cellIs" dxfId="3" priority="7" operator="lessThan">
      <formula>40000</formula>
    </cfRule>
  </conditionalFormatting>
  <conditionalFormatting sqref="N2">
    <cfRule type="iconSet" priority="5">
      <iconSet iconSet="3Arrows">
        <cfvo type="percent" val="0"/>
        <cfvo type="percent" val="33"/>
        <cfvo type="percent" val="67"/>
      </iconSet>
    </cfRule>
  </conditionalFormatting>
  <conditionalFormatting sqref="N3">
    <cfRule type="cellIs" dxfId="2" priority="6" operator="greaterThan">
      <formula>40000</formula>
    </cfRule>
  </conditionalFormatting>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3073" r:id="rId4" name="Drop Down 1">
              <controlPr defaultSize="0" autoLine="0" autoPict="0">
                <anchor moveWithCells="1">
                  <from>
                    <xdr:col>2</xdr:col>
                    <xdr:colOff>1394460</xdr:colOff>
                    <xdr:row>0</xdr:row>
                    <xdr:rowOff>106680</xdr:rowOff>
                  </from>
                  <to>
                    <xdr:col>4</xdr:col>
                    <xdr:colOff>15240</xdr:colOff>
                    <xdr:row>1</xdr:row>
                    <xdr:rowOff>129540</xdr:rowOff>
                  </to>
                </anchor>
              </controlPr>
            </control>
          </mc:Choice>
        </mc:AlternateContent>
      </controls>
    </mc:Choice>
  </mc:AlternateContent>
  <tableParts count="1">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049DD-0F42-41BB-86CA-573A0632C86D}">
  <sheetPr>
    <tabColor theme="7" tint="-0.499984740745262"/>
  </sheetPr>
  <dimension ref="I2:Q36"/>
  <sheetViews>
    <sheetView rightToLeft="1" topLeftCell="F1" zoomScale="117" zoomScaleNormal="117" workbookViewId="0">
      <selection activeCell="I5" sqref="I5"/>
    </sheetView>
  </sheetViews>
  <sheetFormatPr defaultRowHeight="14.4" x14ac:dyDescent="0.3"/>
  <cols>
    <col min="9" max="9" width="17.109375" customWidth="1"/>
    <col min="10" max="10" width="17.33203125" customWidth="1"/>
    <col min="11" max="11" width="12" customWidth="1"/>
    <col min="12" max="12" width="14.109375" customWidth="1"/>
    <col min="13" max="13" width="15.21875" customWidth="1"/>
    <col min="14" max="14" width="15.109375" customWidth="1"/>
    <col min="15" max="15" width="14.21875" customWidth="1"/>
    <col min="16" max="16" width="14.88671875" customWidth="1"/>
  </cols>
  <sheetData>
    <row r="2" spans="9:17" x14ac:dyDescent="0.3">
      <c r="I2" s="11" t="s">
        <v>50</v>
      </c>
      <c r="J2" s="11"/>
      <c r="K2" s="11"/>
      <c r="L2" s="11"/>
      <c r="M2" s="11"/>
      <c r="N2" s="11"/>
      <c r="O2" s="11"/>
      <c r="P2" s="11"/>
      <c r="Q2" s="11"/>
    </row>
    <row r="3" spans="9:17" x14ac:dyDescent="0.3">
      <c r="I3" s="11"/>
      <c r="J3" s="11"/>
      <c r="K3" s="11"/>
      <c r="L3" s="11"/>
      <c r="M3" s="11"/>
      <c r="N3" s="11"/>
      <c r="O3" s="11"/>
      <c r="P3" s="11"/>
      <c r="Q3" s="11"/>
    </row>
    <row r="4" spans="9:17" x14ac:dyDescent="0.3">
      <c r="L4" s="2"/>
    </row>
    <row r="5" spans="9:17" x14ac:dyDescent="0.3">
      <c r="I5" t="s">
        <v>34</v>
      </c>
      <c r="J5" t="s">
        <v>33</v>
      </c>
      <c r="K5" t="s">
        <v>32</v>
      </c>
      <c r="L5" t="s">
        <v>35</v>
      </c>
      <c r="M5" t="s">
        <v>36</v>
      </c>
      <c r="N5" t="s">
        <v>37</v>
      </c>
      <c r="O5" t="s">
        <v>38</v>
      </c>
      <c r="P5" t="s">
        <v>39</v>
      </c>
      <c r="Q5" t="s">
        <v>40</v>
      </c>
    </row>
    <row r="6" spans="9:17" x14ac:dyDescent="0.3">
      <c r="I6" s="1">
        <v>1001</v>
      </c>
      <c r="J6" t="s">
        <v>0</v>
      </c>
      <c r="K6" s="3" t="s">
        <v>30</v>
      </c>
      <c r="L6">
        <v>7000</v>
      </c>
      <c r="M6">
        <v>50000</v>
      </c>
      <c r="N6">
        <v>3000</v>
      </c>
      <c r="O6">
        <f>L6+M6-N6</f>
        <v>54000</v>
      </c>
      <c r="P6" t="str">
        <f>IF(O6&lt;10000,"Düşük Bakiye","Aktif")</f>
        <v>Aktif</v>
      </c>
      <c r="Q6" t="s">
        <v>41</v>
      </c>
    </row>
    <row r="7" spans="9:17" x14ac:dyDescent="0.3">
      <c r="I7">
        <v>1002</v>
      </c>
      <c r="J7" t="s">
        <v>1</v>
      </c>
      <c r="K7" t="s">
        <v>31</v>
      </c>
      <c r="L7">
        <v>5000</v>
      </c>
      <c r="M7">
        <v>29000</v>
      </c>
      <c r="N7">
        <v>2900</v>
      </c>
      <c r="O7">
        <f t="shared" ref="O7:O35" si="0">L7+M7-N7</f>
        <v>31100</v>
      </c>
      <c r="P7" t="str">
        <f t="shared" ref="P7:P35" si="1">IF(O7&lt;10000,"Düşük Bakiye","Aktif")</f>
        <v>Aktif</v>
      </c>
      <c r="Q7" t="s">
        <v>41</v>
      </c>
    </row>
    <row r="8" spans="9:17" x14ac:dyDescent="0.3">
      <c r="I8" s="1">
        <v>1003</v>
      </c>
      <c r="J8" t="s">
        <v>2</v>
      </c>
      <c r="K8" s="3" t="s">
        <v>30</v>
      </c>
      <c r="L8">
        <v>29000</v>
      </c>
      <c r="M8">
        <v>30000</v>
      </c>
      <c r="N8">
        <v>3400</v>
      </c>
      <c r="O8">
        <f>L8+M8-N8</f>
        <v>55600</v>
      </c>
      <c r="P8" t="str">
        <f t="shared" si="1"/>
        <v>Aktif</v>
      </c>
      <c r="Q8" t="s">
        <v>41</v>
      </c>
    </row>
    <row r="9" spans="9:17" x14ac:dyDescent="0.3">
      <c r="I9">
        <v>1004</v>
      </c>
      <c r="J9" t="s">
        <v>3</v>
      </c>
      <c r="K9" t="s">
        <v>31</v>
      </c>
      <c r="L9">
        <v>30000</v>
      </c>
      <c r="M9">
        <v>33800</v>
      </c>
      <c r="N9">
        <v>4000</v>
      </c>
      <c r="O9">
        <f t="shared" si="0"/>
        <v>59800</v>
      </c>
      <c r="P9" t="str">
        <f t="shared" si="1"/>
        <v>Aktif</v>
      </c>
      <c r="Q9" t="s">
        <v>41</v>
      </c>
    </row>
    <row r="10" spans="9:17" x14ac:dyDescent="0.3">
      <c r="I10" s="1">
        <v>1005</v>
      </c>
      <c r="J10" t="s">
        <v>4</v>
      </c>
      <c r="K10" s="3" t="s">
        <v>30</v>
      </c>
      <c r="L10">
        <v>33800</v>
      </c>
      <c r="M10">
        <v>40000</v>
      </c>
      <c r="N10">
        <v>5600</v>
      </c>
      <c r="O10">
        <f t="shared" si="0"/>
        <v>68200</v>
      </c>
      <c r="P10" t="str">
        <f t="shared" si="1"/>
        <v>Aktif</v>
      </c>
      <c r="Q10" t="s">
        <v>41</v>
      </c>
    </row>
    <row r="11" spans="9:17" x14ac:dyDescent="0.3">
      <c r="I11">
        <v>1006</v>
      </c>
      <c r="J11" t="s">
        <v>5</v>
      </c>
      <c r="K11" t="s">
        <v>31</v>
      </c>
      <c r="L11">
        <v>40000</v>
      </c>
      <c r="M11">
        <v>20000</v>
      </c>
      <c r="N11">
        <v>1000</v>
      </c>
      <c r="O11">
        <f t="shared" si="0"/>
        <v>59000</v>
      </c>
      <c r="P11" t="str">
        <f t="shared" si="1"/>
        <v>Aktif</v>
      </c>
      <c r="Q11" t="s">
        <v>41</v>
      </c>
    </row>
    <row r="12" spans="9:17" x14ac:dyDescent="0.3">
      <c r="I12" s="1">
        <v>1007</v>
      </c>
      <c r="J12" t="s">
        <v>6</v>
      </c>
      <c r="K12" s="3" t="s">
        <v>30</v>
      </c>
      <c r="L12">
        <v>20000</v>
      </c>
      <c r="M12">
        <v>40000</v>
      </c>
      <c r="N12">
        <v>2200</v>
      </c>
      <c r="O12">
        <f t="shared" si="0"/>
        <v>57800</v>
      </c>
      <c r="P12" t="str">
        <f t="shared" si="1"/>
        <v>Aktif</v>
      </c>
      <c r="Q12" t="s">
        <v>41</v>
      </c>
    </row>
    <row r="13" spans="9:17" x14ac:dyDescent="0.3">
      <c r="I13">
        <v>1008</v>
      </c>
      <c r="J13" t="s">
        <v>7</v>
      </c>
      <c r="K13" t="s">
        <v>31</v>
      </c>
      <c r="L13">
        <v>100000</v>
      </c>
      <c r="M13">
        <v>456778</v>
      </c>
      <c r="N13">
        <v>40050</v>
      </c>
      <c r="O13">
        <f t="shared" si="0"/>
        <v>516728</v>
      </c>
      <c r="P13" t="str">
        <f t="shared" si="1"/>
        <v>Aktif</v>
      </c>
      <c r="Q13" t="s">
        <v>41</v>
      </c>
    </row>
    <row r="14" spans="9:17" x14ac:dyDescent="0.3">
      <c r="I14" s="1">
        <v>1009</v>
      </c>
      <c r="J14" t="s">
        <v>8</v>
      </c>
      <c r="K14" s="3" t="s">
        <v>30</v>
      </c>
      <c r="L14">
        <v>20983</v>
      </c>
      <c r="M14">
        <v>78890</v>
      </c>
      <c r="N14">
        <v>5000</v>
      </c>
      <c r="O14">
        <f t="shared" si="0"/>
        <v>94873</v>
      </c>
      <c r="P14" t="str">
        <f t="shared" si="1"/>
        <v>Aktif</v>
      </c>
      <c r="Q14" t="s">
        <v>41</v>
      </c>
    </row>
    <row r="15" spans="9:17" x14ac:dyDescent="0.3">
      <c r="I15">
        <v>1010</v>
      </c>
      <c r="J15" t="s">
        <v>9</v>
      </c>
      <c r="K15" t="s">
        <v>31</v>
      </c>
      <c r="L15">
        <v>345678</v>
      </c>
      <c r="M15">
        <v>90000</v>
      </c>
      <c r="N15">
        <v>4500</v>
      </c>
      <c r="O15">
        <f t="shared" si="0"/>
        <v>431178</v>
      </c>
      <c r="P15" t="str">
        <f t="shared" si="1"/>
        <v>Aktif</v>
      </c>
      <c r="Q15" t="s">
        <v>41</v>
      </c>
    </row>
    <row r="16" spans="9:17" x14ac:dyDescent="0.3">
      <c r="I16" s="1">
        <v>1011</v>
      </c>
      <c r="J16" t="s">
        <v>10</v>
      </c>
      <c r="K16" s="3" t="s">
        <v>30</v>
      </c>
      <c r="L16">
        <v>844670</v>
      </c>
      <c r="M16">
        <v>100000</v>
      </c>
      <c r="N16">
        <v>6000</v>
      </c>
      <c r="O16">
        <f t="shared" si="0"/>
        <v>938670</v>
      </c>
      <c r="P16" t="str">
        <f t="shared" si="1"/>
        <v>Aktif</v>
      </c>
      <c r="Q16" t="s">
        <v>41</v>
      </c>
    </row>
    <row r="17" spans="9:17" x14ac:dyDescent="0.3">
      <c r="I17">
        <v>1012</v>
      </c>
      <c r="J17" t="s">
        <v>11</v>
      </c>
      <c r="K17" t="s">
        <v>31</v>
      </c>
      <c r="L17">
        <v>457388</v>
      </c>
      <c r="M17">
        <v>345678</v>
      </c>
      <c r="N17">
        <v>7000</v>
      </c>
      <c r="O17">
        <f t="shared" si="0"/>
        <v>796066</v>
      </c>
      <c r="P17" t="str">
        <f t="shared" si="1"/>
        <v>Aktif</v>
      </c>
      <c r="Q17" t="s">
        <v>41</v>
      </c>
    </row>
    <row r="18" spans="9:17" x14ac:dyDescent="0.3">
      <c r="I18" s="1">
        <v>1013</v>
      </c>
      <c r="J18" t="s">
        <v>12</v>
      </c>
      <c r="K18" s="3" t="s">
        <v>30</v>
      </c>
      <c r="L18">
        <v>7837367</v>
      </c>
      <c r="M18">
        <v>567890</v>
      </c>
      <c r="N18">
        <v>12340</v>
      </c>
      <c r="O18">
        <f t="shared" si="0"/>
        <v>8392917</v>
      </c>
      <c r="P18" t="str">
        <f t="shared" si="1"/>
        <v>Aktif</v>
      </c>
      <c r="Q18" t="s">
        <v>41</v>
      </c>
    </row>
    <row r="19" spans="9:17" x14ac:dyDescent="0.3">
      <c r="I19">
        <v>1014</v>
      </c>
      <c r="J19" t="s">
        <v>13</v>
      </c>
      <c r="K19" t="s">
        <v>31</v>
      </c>
      <c r="L19">
        <v>779809</v>
      </c>
      <c r="M19">
        <v>67899</v>
      </c>
      <c r="N19">
        <v>4005</v>
      </c>
      <c r="O19">
        <f t="shared" si="0"/>
        <v>843703</v>
      </c>
      <c r="P19" t="str">
        <f t="shared" si="1"/>
        <v>Aktif</v>
      </c>
      <c r="Q19" t="s">
        <v>41</v>
      </c>
    </row>
    <row r="20" spans="9:17" x14ac:dyDescent="0.3">
      <c r="I20" s="1">
        <v>1015</v>
      </c>
      <c r="J20" t="s">
        <v>14</v>
      </c>
      <c r="K20" s="3" t="s">
        <v>30</v>
      </c>
      <c r="L20">
        <v>567898</v>
      </c>
      <c r="M20">
        <v>345689</v>
      </c>
      <c r="N20">
        <v>7690</v>
      </c>
      <c r="O20">
        <f t="shared" si="0"/>
        <v>905897</v>
      </c>
      <c r="P20" t="str">
        <f t="shared" si="1"/>
        <v>Aktif</v>
      </c>
      <c r="Q20" t="s">
        <v>41</v>
      </c>
    </row>
    <row r="21" spans="9:17" x14ac:dyDescent="0.3">
      <c r="I21">
        <v>1016</v>
      </c>
      <c r="J21" t="s">
        <v>15</v>
      </c>
      <c r="K21" t="s">
        <v>31</v>
      </c>
      <c r="L21">
        <v>98765</v>
      </c>
      <c r="M21">
        <v>456789</v>
      </c>
      <c r="N21">
        <v>4500</v>
      </c>
      <c r="O21">
        <f t="shared" si="0"/>
        <v>551054</v>
      </c>
      <c r="P21" t="str">
        <f t="shared" si="1"/>
        <v>Aktif</v>
      </c>
      <c r="Q21" t="s">
        <v>41</v>
      </c>
    </row>
    <row r="22" spans="9:17" x14ac:dyDescent="0.3">
      <c r="I22" s="1">
        <v>1017</v>
      </c>
      <c r="J22" t="s">
        <v>16</v>
      </c>
      <c r="K22" s="3" t="s">
        <v>30</v>
      </c>
      <c r="L22">
        <v>123445</v>
      </c>
      <c r="M22">
        <v>909067</v>
      </c>
      <c r="N22">
        <v>1200</v>
      </c>
      <c r="O22">
        <f t="shared" si="0"/>
        <v>1031312</v>
      </c>
      <c r="P22" t="str">
        <f t="shared" si="1"/>
        <v>Aktif</v>
      </c>
      <c r="Q22" t="s">
        <v>41</v>
      </c>
    </row>
    <row r="23" spans="9:17" x14ac:dyDescent="0.3">
      <c r="I23">
        <v>1018</v>
      </c>
      <c r="J23" t="s">
        <v>17</v>
      </c>
      <c r="K23" t="s">
        <v>31</v>
      </c>
      <c r="L23">
        <v>876467</v>
      </c>
      <c r="M23">
        <v>234556</v>
      </c>
      <c r="N23">
        <v>3450</v>
      </c>
      <c r="O23">
        <f t="shared" si="0"/>
        <v>1107573</v>
      </c>
      <c r="P23" t="str">
        <f t="shared" si="1"/>
        <v>Aktif</v>
      </c>
      <c r="Q23" t="s">
        <v>41</v>
      </c>
    </row>
    <row r="24" spans="9:17" x14ac:dyDescent="0.3">
      <c r="I24" s="1">
        <v>1019</v>
      </c>
      <c r="J24" t="s">
        <v>18</v>
      </c>
      <c r="K24" s="3" t="s">
        <v>30</v>
      </c>
      <c r="L24">
        <v>908776</v>
      </c>
      <c r="M24">
        <v>298765</v>
      </c>
      <c r="N24">
        <v>5000</v>
      </c>
      <c r="O24">
        <f t="shared" si="0"/>
        <v>1202541</v>
      </c>
      <c r="P24" t="str">
        <f t="shared" si="1"/>
        <v>Aktif</v>
      </c>
      <c r="Q24" t="s">
        <v>41</v>
      </c>
    </row>
    <row r="25" spans="9:17" x14ac:dyDescent="0.3">
      <c r="I25">
        <v>1020</v>
      </c>
      <c r="J25" t="s">
        <v>19</v>
      </c>
      <c r="K25" t="s">
        <v>31</v>
      </c>
      <c r="L25">
        <v>67779</v>
      </c>
      <c r="M25">
        <v>4668898</v>
      </c>
      <c r="N25">
        <v>8000</v>
      </c>
      <c r="O25">
        <f t="shared" si="0"/>
        <v>4728677</v>
      </c>
      <c r="P25" t="str">
        <f t="shared" si="1"/>
        <v>Aktif</v>
      </c>
      <c r="Q25" t="s">
        <v>41</v>
      </c>
    </row>
    <row r="26" spans="9:17" x14ac:dyDescent="0.3">
      <c r="I26" s="1">
        <v>1021</v>
      </c>
      <c r="J26" t="s">
        <v>20</v>
      </c>
      <c r="K26" s="3" t="s">
        <v>30</v>
      </c>
      <c r="L26">
        <v>234987</v>
      </c>
      <c r="M26">
        <v>677889</v>
      </c>
      <c r="N26">
        <v>34550</v>
      </c>
      <c r="O26">
        <f t="shared" si="0"/>
        <v>878326</v>
      </c>
      <c r="P26" t="str">
        <f t="shared" si="1"/>
        <v>Aktif</v>
      </c>
      <c r="Q26" t="s">
        <v>41</v>
      </c>
    </row>
    <row r="27" spans="9:17" x14ac:dyDescent="0.3">
      <c r="I27">
        <v>1022</v>
      </c>
      <c r="J27" t="s">
        <v>21</v>
      </c>
      <c r="K27" t="s">
        <v>31</v>
      </c>
      <c r="L27">
        <v>7000</v>
      </c>
      <c r="M27">
        <v>600000</v>
      </c>
      <c r="N27">
        <v>16000</v>
      </c>
      <c r="O27">
        <f t="shared" si="0"/>
        <v>591000</v>
      </c>
      <c r="P27" t="str">
        <f t="shared" si="1"/>
        <v>Aktif</v>
      </c>
      <c r="Q27" t="s">
        <v>41</v>
      </c>
    </row>
    <row r="28" spans="9:17" x14ac:dyDescent="0.3">
      <c r="I28" s="1">
        <v>1023</v>
      </c>
      <c r="J28" t="s">
        <v>22</v>
      </c>
      <c r="K28" s="3" t="s">
        <v>30</v>
      </c>
      <c r="L28">
        <v>5000</v>
      </c>
      <c r="M28">
        <v>677890</v>
      </c>
      <c r="N28">
        <v>6700</v>
      </c>
      <c r="O28">
        <f t="shared" si="0"/>
        <v>676190</v>
      </c>
      <c r="P28" t="str">
        <f t="shared" si="1"/>
        <v>Aktif</v>
      </c>
      <c r="Q28" t="s">
        <v>41</v>
      </c>
    </row>
    <row r="29" spans="9:17" x14ac:dyDescent="0.3">
      <c r="I29">
        <v>1024</v>
      </c>
      <c r="J29" t="s">
        <v>23</v>
      </c>
      <c r="K29" t="s">
        <v>31</v>
      </c>
      <c r="L29">
        <v>29000</v>
      </c>
      <c r="M29">
        <v>890000</v>
      </c>
      <c r="N29">
        <v>8900</v>
      </c>
      <c r="O29">
        <f t="shared" si="0"/>
        <v>910100</v>
      </c>
      <c r="P29" t="str">
        <f t="shared" si="1"/>
        <v>Aktif</v>
      </c>
      <c r="Q29" t="s">
        <v>41</v>
      </c>
    </row>
    <row r="30" spans="9:17" x14ac:dyDescent="0.3">
      <c r="I30" s="1">
        <v>1025</v>
      </c>
      <c r="J30" t="s">
        <v>24</v>
      </c>
      <c r="K30" s="3" t="s">
        <v>30</v>
      </c>
      <c r="L30">
        <v>30000</v>
      </c>
      <c r="M30">
        <v>500000</v>
      </c>
      <c r="N30">
        <v>8000</v>
      </c>
      <c r="O30">
        <f t="shared" si="0"/>
        <v>522000</v>
      </c>
      <c r="P30" t="str">
        <f t="shared" si="1"/>
        <v>Aktif</v>
      </c>
      <c r="Q30" t="s">
        <v>41</v>
      </c>
    </row>
    <row r="31" spans="9:17" x14ac:dyDescent="0.3">
      <c r="I31">
        <v>1026</v>
      </c>
      <c r="J31" t="s">
        <v>25</v>
      </c>
      <c r="K31" t="s">
        <v>31</v>
      </c>
      <c r="L31">
        <v>33800</v>
      </c>
      <c r="M31">
        <v>800009</v>
      </c>
      <c r="N31">
        <v>9000</v>
      </c>
      <c r="O31">
        <f t="shared" si="0"/>
        <v>824809</v>
      </c>
      <c r="P31" t="str">
        <f t="shared" si="1"/>
        <v>Aktif</v>
      </c>
      <c r="Q31" t="s">
        <v>41</v>
      </c>
    </row>
    <row r="32" spans="9:17" x14ac:dyDescent="0.3">
      <c r="I32" s="1">
        <v>1027</v>
      </c>
      <c r="J32" t="s">
        <v>26</v>
      </c>
      <c r="K32" s="3" t="s">
        <v>30</v>
      </c>
      <c r="L32">
        <v>40000</v>
      </c>
      <c r="M32">
        <v>567821</v>
      </c>
      <c r="N32">
        <v>5678</v>
      </c>
      <c r="O32">
        <f t="shared" si="0"/>
        <v>602143</v>
      </c>
      <c r="P32" t="str">
        <f t="shared" si="1"/>
        <v>Aktif</v>
      </c>
      <c r="Q32" t="s">
        <v>41</v>
      </c>
    </row>
    <row r="33" spans="9:17" x14ac:dyDescent="0.3">
      <c r="I33">
        <v>1028</v>
      </c>
      <c r="J33" t="s">
        <v>27</v>
      </c>
      <c r="K33" t="s">
        <v>31</v>
      </c>
      <c r="L33">
        <v>45678</v>
      </c>
      <c r="M33">
        <v>890000</v>
      </c>
      <c r="N33">
        <v>5900</v>
      </c>
      <c r="O33">
        <f t="shared" si="0"/>
        <v>929778</v>
      </c>
      <c r="P33" t="str">
        <f t="shared" si="1"/>
        <v>Aktif</v>
      </c>
      <c r="Q33" t="s">
        <v>41</v>
      </c>
    </row>
    <row r="34" spans="9:17" x14ac:dyDescent="0.3">
      <c r="I34" s="1">
        <v>1029</v>
      </c>
      <c r="J34" t="s">
        <v>28</v>
      </c>
      <c r="K34" s="3" t="s">
        <v>30</v>
      </c>
      <c r="L34">
        <v>234567</v>
      </c>
      <c r="M34">
        <v>409000</v>
      </c>
      <c r="N34">
        <v>7890</v>
      </c>
      <c r="O34">
        <f t="shared" si="0"/>
        <v>635677</v>
      </c>
      <c r="P34" t="str">
        <f t="shared" si="1"/>
        <v>Aktif</v>
      </c>
      <c r="Q34" t="s">
        <v>41</v>
      </c>
    </row>
    <row r="35" spans="9:17" x14ac:dyDescent="0.3">
      <c r="I35">
        <v>1030</v>
      </c>
      <c r="J35" t="s">
        <v>29</v>
      </c>
      <c r="K35" t="s">
        <v>31</v>
      </c>
      <c r="L35">
        <v>456789</v>
      </c>
      <c r="M35">
        <v>3000089</v>
      </c>
      <c r="N35">
        <v>7000</v>
      </c>
      <c r="O35">
        <f t="shared" si="0"/>
        <v>3449878</v>
      </c>
      <c r="P35" t="str">
        <f t="shared" si="1"/>
        <v>Aktif</v>
      </c>
      <c r="Q35" t="s">
        <v>41</v>
      </c>
    </row>
    <row r="36" spans="9:17" x14ac:dyDescent="0.3">
      <c r="O36">
        <f>SUM(O6,O35)</f>
        <v>3503878</v>
      </c>
    </row>
  </sheetData>
  <mergeCells count="1">
    <mergeCell ref="I2:Q3"/>
  </mergeCells>
  <conditionalFormatting sqref="K36:K37">
    <cfRule type="duplicateValues" dxfId="1" priority="1"/>
    <cfRule type="duplicateValues" dxfId="0" priority="2"/>
  </conditionalFormatting>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E084B-DDBC-4632-8922-D4FBC96745FE}">
  <sheetPr>
    <tabColor theme="5" tint="0.39997558519241921"/>
  </sheetPr>
  <dimension ref="E2:T5"/>
  <sheetViews>
    <sheetView rightToLeft="1" topLeftCell="D1" workbookViewId="0">
      <selection activeCell="E12" sqref="E12"/>
    </sheetView>
  </sheetViews>
  <sheetFormatPr defaultRowHeight="14.4" x14ac:dyDescent="0.3"/>
  <cols>
    <col min="5" max="5" width="17.109375" customWidth="1"/>
    <col min="6" max="6" width="17.33203125" customWidth="1"/>
    <col min="8" max="8" width="13.33203125" bestFit="1" customWidth="1"/>
    <col min="10" max="10" width="14" bestFit="1" customWidth="1"/>
    <col min="12" max="12" width="11.44140625" bestFit="1" customWidth="1"/>
    <col min="14" max="14" width="12.44140625" bestFit="1" customWidth="1"/>
    <col min="19" max="19" width="11.44140625" bestFit="1" customWidth="1"/>
    <col min="20" max="20" width="12.44140625" bestFit="1" customWidth="1"/>
  </cols>
  <sheetData>
    <row r="2" spans="5:20" x14ac:dyDescent="0.3">
      <c r="J2" s="9" t="s">
        <v>62</v>
      </c>
      <c r="K2" s="12"/>
      <c r="L2" s="12"/>
      <c r="M2" s="12"/>
      <c r="N2" s="12"/>
      <c r="O2" s="12"/>
      <c r="P2" s="12"/>
    </row>
    <row r="3" spans="5:20" x14ac:dyDescent="0.3">
      <c r="J3" s="12"/>
      <c r="K3" s="12"/>
      <c r="L3" s="12"/>
      <c r="M3" s="12"/>
      <c r="N3" s="12"/>
      <c r="O3" s="12"/>
      <c r="P3" s="12"/>
    </row>
    <row r="4" spans="5:20" x14ac:dyDescent="0.3">
      <c r="E4" s="4" t="s">
        <v>45</v>
      </c>
      <c r="F4" s="4" t="s">
        <v>44</v>
      </c>
      <c r="S4" s="5" t="s">
        <v>42</v>
      </c>
      <c r="T4" s="5" t="s">
        <v>43</v>
      </c>
    </row>
    <row r="5" spans="5:20" x14ac:dyDescent="0.3">
      <c r="E5">
        <f>SUMIF('MAINE PAGE'!K6:K35,"Birikim",'MAINE PAGE'!M6:M35)</f>
        <v>5292901</v>
      </c>
      <c r="F5">
        <f>SUMIF('MAINE PAGE'!K7:K35,"Vadesiz",'MAINE PAGE'!M7:M35)</f>
        <v>12583496</v>
      </c>
      <c r="S5">
        <f>COUNTIF('MAINE PAGE'!K5:K35,"Birikim")</f>
        <v>15</v>
      </c>
      <c r="T5">
        <f>COUNTIF('MAINE PAGE'!K7:K35,"Vadesiz")</f>
        <v>15</v>
      </c>
    </row>
  </sheetData>
  <mergeCells count="1">
    <mergeCell ref="J2:P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B16B8-5121-4FD9-AC9B-97705139A69C}">
  <sheetPr>
    <tabColor theme="6" tint="0.39997558519241921"/>
  </sheetPr>
  <dimension ref="C2:H19"/>
  <sheetViews>
    <sheetView rightToLeft="1" workbookViewId="0">
      <selection activeCell="J18" sqref="J18"/>
    </sheetView>
  </sheetViews>
  <sheetFormatPr defaultRowHeight="14.4" x14ac:dyDescent="0.3"/>
  <cols>
    <col min="4" max="4" width="12.21875" bestFit="1" customWidth="1"/>
    <col min="8" max="8" width="13.77734375" bestFit="1" customWidth="1"/>
  </cols>
  <sheetData>
    <row r="2" spans="3:8" x14ac:dyDescent="0.3">
      <c r="C2" s="13" t="s">
        <v>49</v>
      </c>
      <c r="D2" s="13"/>
      <c r="G2" s="13" t="s">
        <v>48</v>
      </c>
      <c r="H2" s="13"/>
    </row>
    <row r="4" spans="3:8" x14ac:dyDescent="0.3">
      <c r="C4" cm="1">
        <f t="array" ref="C4:C18">_xlfn._xlws.FILTER(Table1[Müşteri Numarası],Table1[Hesap Türü]="Birikim")</f>
        <v>1001</v>
      </c>
      <c r="D4" t="str" cm="1">
        <f t="array" ref="D4:D18">_xlfn._xlws.FILTER(Table1[Müşteri Adı Soyadı],Table1[Hesap Türü]="Birikim")</f>
        <v>ahmad khaled</v>
      </c>
      <c r="G4" t="s">
        <v>46</v>
      </c>
      <c r="H4" t="s">
        <v>47</v>
      </c>
    </row>
    <row r="5" spans="3:8" x14ac:dyDescent="0.3">
      <c r="C5">
        <v>1003</v>
      </c>
      <c r="D5" t="str">
        <v>lana khalaf</v>
      </c>
      <c r="G5" cm="1">
        <f t="array" ref="G5:G19">_xlfn._xlws.FILTER(Table1[Müşteri Numarası],Table1[Hesap Türü]="Vadesiz")</f>
        <v>1002</v>
      </c>
      <c r="H5" t="str" cm="1">
        <f t="array" ref="H5:H19">_xlfn._xlws.FILTER(Table1[Müşteri Adı Soyadı],Table1[Hesap Türü]="Vadesiz")</f>
        <v>dania sayed</v>
      </c>
    </row>
    <row r="6" spans="3:8" x14ac:dyDescent="0.3">
      <c r="C6">
        <v>1005</v>
      </c>
      <c r="D6" t="str">
        <v>dalia samar</v>
      </c>
      <c r="G6">
        <v>1004</v>
      </c>
      <c r="H6" t="str">
        <v>mohammad ali</v>
      </c>
    </row>
    <row r="7" spans="3:8" x14ac:dyDescent="0.3">
      <c r="C7">
        <v>1007</v>
      </c>
      <c r="D7" t="str">
        <v>samra dahab</v>
      </c>
      <c r="G7">
        <v>1006</v>
      </c>
      <c r="H7" t="str">
        <v>sami harb</v>
      </c>
    </row>
    <row r="8" spans="3:8" x14ac:dyDescent="0.3">
      <c r="C8">
        <v>1009</v>
      </c>
      <c r="D8" t="str">
        <v>tuğba demir</v>
      </c>
      <c r="G8">
        <v>1008</v>
      </c>
      <c r="H8" t="str">
        <v>özge erdoğan</v>
      </c>
    </row>
    <row r="9" spans="3:8" x14ac:dyDescent="0.3">
      <c r="C9">
        <v>1011</v>
      </c>
      <c r="D9" t="str">
        <v>ali aslan</v>
      </c>
      <c r="G9">
        <v>1010</v>
      </c>
      <c r="H9" t="str">
        <v>cihan yılmaz</v>
      </c>
    </row>
    <row r="10" spans="3:8" x14ac:dyDescent="0.3">
      <c r="C10">
        <v>1013</v>
      </c>
      <c r="D10" t="str">
        <v>melisa kaya</v>
      </c>
      <c r="G10">
        <v>1012</v>
      </c>
      <c r="H10" t="str">
        <v>merve çavdar</v>
      </c>
    </row>
    <row r="11" spans="3:8" x14ac:dyDescent="0.3">
      <c r="C11">
        <v>1015</v>
      </c>
      <c r="D11" t="str">
        <v>yılmaz ögün</v>
      </c>
      <c r="G11">
        <v>1014</v>
      </c>
      <c r="H11" t="str">
        <v>eyüp kaya</v>
      </c>
    </row>
    <row r="12" spans="3:8" x14ac:dyDescent="0.3">
      <c r="C12">
        <v>1017</v>
      </c>
      <c r="D12" t="str">
        <v>levent demir</v>
      </c>
      <c r="G12">
        <v>1016</v>
      </c>
      <c r="H12" t="str">
        <v>tolga aslan</v>
      </c>
    </row>
    <row r="13" spans="3:8" x14ac:dyDescent="0.3">
      <c r="C13">
        <v>1019</v>
      </c>
      <c r="D13" t="str">
        <v>şerife üsttün</v>
      </c>
      <c r="G13">
        <v>1018</v>
      </c>
      <c r="H13" t="str">
        <v>sevda tekin</v>
      </c>
    </row>
    <row r="14" spans="3:8" x14ac:dyDescent="0.3">
      <c r="C14">
        <v>1021</v>
      </c>
      <c r="D14" t="str">
        <v>cihad eren</v>
      </c>
      <c r="G14">
        <v>1020</v>
      </c>
      <c r="H14" t="str">
        <v>başak kader</v>
      </c>
    </row>
    <row r="15" spans="3:8" x14ac:dyDescent="0.3">
      <c r="C15">
        <v>1023</v>
      </c>
      <c r="D15" t="str">
        <v>taha alfiza</v>
      </c>
      <c r="G15">
        <v>1022</v>
      </c>
      <c r="H15" t="str">
        <v>batuhan duran</v>
      </c>
    </row>
    <row r="16" spans="3:8" x14ac:dyDescent="0.3">
      <c r="C16">
        <v>1025</v>
      </c>
      <c r="D16" t="str">
        <v>kübra akarsu</v>
      </c>
      <c r="G16">
        <v>1024</v>
      </c>
      <c r="H16" t="str">
        <v>emer arslan</v>
      </c>
    </row>
    <row r="17" spans="3:8" x14ac:dyDescent="0.3">
      <c r="C17">
        <v>1027</v>
      </c>
      <c r="D17" t="str">
        <v>irem teber</v>
      </c>
      <c r="G17">
        <v>1026</v>
      </c>
      <c r="H17" t="str">
        <v>burcu buzdoğan</v>
      </c>
    </row>
    <row r="18" spans="3:8" x14ac:dyDescent="0.3">
      <c r="C18">
        <v>1029</v>
      </c>
      <c r="D18" t="str">
        <v>yusuf doğan</v>
      </c>
      <c r="G18">
        <v>1028</v>
      </c>
      <c r="H18" t="str">
        <v>yakup teber</v>
      </c>
    </row>
    <row r="19" spans="3:8" x14ac:dyDescent="0.3">
      <c r="G19">
        <v>1030</v>
      </c>
      <c r="H19" t="str">
        <v>ömer doğan</v>
      </c>
    </row>
  </sheetData>
  <mergeCells count="2">
    <mergeCell ref="G2:H2"/>
    <mergeCell ref="C2:D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TABLE</vt:lpstr>
      <vt:lpstr>Customer-Search-Profile</vt:lpstr>
      <vt:lpstr>MAINE PAGE</vt:lpstr>
      <vt:lpstr>Dashboard</vt:lpstr>
      <vt:lpstr>DataBase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77300</dc:creator>
  <cp:lastModifiedBy>77300</cp:lastModifiedBy>
  <dcterms:created xsi:type="dcterms:W3CDTF">2026-02-17T21:14:38Z</dcterms:created>
  <dcterms:modified xsi:type="dcterms:W3CDTF">2026-02-22T22:34:11Z</dcterms:modified>
</cp:coreProperties>
</file>