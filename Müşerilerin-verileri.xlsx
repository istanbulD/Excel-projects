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C639FE17-F6EB-46F0-B851-1DAF976B6BE1}" xr6:coauthVersionLast="47" xr6:coauthVersionMax="47" xr10:uidLastSave="{00000000-0000-0000-0000-000000000000}"/>
  <bookViews>
    <workbookView xWindow="-108" yWindow="-108" windowWidth="23256" windowHeight="12456" activeTab="2" xr2:uid="{728AFA3B-D8FD-46D2-A8AE-D4AAECBAE456}"/>
  </bookViews>
  <sheets>
    <sheet name="Sheet1" sheetId="3" r:id="rId1"/>
    <sheet name="pivot table" sheetId="4" r:id="rId2"/>
    <sheet name="Sayfa1" sheetId="1" r:id="rId3"/>
    <sheet name="Advanced Filter" sheetId="5" r:id="rId4"/>
    <sheet name="database" sheetId="2" r:id="rId5"/>
  </sheets>
  <definedNames>
    <definedName name="_xlnm._FilterDatabase" localSheetId="3" hidden="1">'Advanced Filter'!$G$4:$M$17</definedName>
    <definedName name="_xlnm._FilterDatabase" localSheetId="2" hidden="1">Sayfa1!$G$8:$M$35</definedName>
    <definedName name="_xlcn.WorksheetConnection_Alasal2.xlsxAnaTablo" hidden="1">AnaTablo[]</definedName>
    <definedName name="_xlcn.WorksheetConnection_Alasal2.xlsxİkiTablo" hidden="1">İkiTablo[]</definedName>
    <definedName name="_xlcn.WorksheetConnection_Sayfa1P8T24" hidden="1">Sayfa1!$P$8:$T$24</definedName>
    <definedName name="_xlnm.Extract" localSheetId="3">'Advanced Filter'!$B$4:$C$4</definedName>
    <definedName name="_xlnm.Extract" localSheetId="2">Sayfa1!$P$9:$P$23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ayfa1!$P$8:$T$24"/>
          <x15:modelTable id="AnaTablo" name="AnaTablo" connection="WorksheetConnection_Alasal 2.xlsx!AnaTablo"/>
          <x15:modelTable id="İkiTablo" name="İkiTablo" connection="WorksheetConnection_Alasal 2.xlsx!İkiTablo"/>
        </x15:modelTables>
        <x15:extLst>
          <ext xmlns:x16="http://schemas.microsoft.com/office/spreadsheetml/2014/11/main" uri="{9835A34E-60A6-4A7C-AAB8-D5F71C897F49}">
            <x16:modelTimeGroupings>
              <x16:modelTimeGrouping tableName="AnaTablo" columnName="tarih" columnId="tarih">
                <x16:calculatedTimeColumn columnName="tarih (Month Index)" columnId="tarih (Month Index)" contentType="monthsindex" isSelected="1"/>
                <x16:calculatedTimeColumn columnName="tarih (Month)" columnId="tarih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7" i="1" l="1"/>
  <c r="M36" i="1"/>
  <c r="T10" i="1"/>
  <c r="T11" i="1"/>
  <c r="T12" i="1"/>
  <c r="T13" i="1"/>
  <c r="T14" i="1"/>
  <c r="T15" i="1"/>
  <c r="T16" i="1"/>
  <c r="T17" i="1"/>
  <c r="T18" i="1"/>
  <c r="T19" i="1"/>
  <c r="T9" i="1"/>
  <c r="J31" i="1"/>
  <c r="K31" i="1" s="1"/>
  <c r="J34" i="1"/>
  <c r="K34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J28" i="1"/>
  <c r="K28" i="1" s="1"/>
  <c r="J29" i="1"/>
  <c r="K29" i="1" s="1"/>
  <c r="J30" i="1"/>
  <c r="K30" i="1" s="1"/>
  <c r="J32" i="1"/>
  <c r="K32" i="1" s="1"/>
  <c r="J33" i="1"/>
  <c r="K33" i="1" s="1"/>
  <c r="J35" i="1"/>
  <c r="K35" i="1" s="1"/>
  <c r="J9" i="1"/>
  <c r="K9" i="1" s="1"/>
  <c r="I37" i="1"/>
  <c r="G37" i="1"/>
  <c r="K37" i="1" l="1"/>
  <c r="Q12" i="1"/>
  <c r="Q11" i="1"/>
  <c r="Q9" i="1"/>
  <c r="Q19" i="1"/>
  <c r="Q18" i="1"/>
  <c r="Q10" i="1"/>
  <c r="Q17" i="1"/>
  <c r="Q16" i="1"/>
  <c r="Q15" i="1"/>
  <c r="Q14" i="1"/>
  <c r="Q13" i="1"/>
  <c r="R15" i="1" l="1"/>
  <c r="S15" i="1"/>
  <c r="R10" i="1"/>
  <c r="S10" i="1"/>
  <c r="R19" i="1"/>
  <c r="S19" i="1"/>
  <c r="R14" i="1"/>
  <c r="S14" i="1"/>
  <c r="R17" i="1"/>
  <c r="S17" i="1"/>
  <c r="R18" i="1"/>
  <c r="S18" i="1"/>
  <c r="R11" i="1"/>
  <c r="S11" i="1"/>
  <c r="R12" i="1"/>
  <c r="S12" i="1"/>
  <c r="R13" i="1"/>
  <c r="S13" i="1"/>
  <c r="R16" i="1"/>
  <c r="S16" i="1"/>
  <c r="R9" i="1"/>
  <c r="S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3D24CEC-C2D5-460C-8E65-AFF044C8AE9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1E09FA-84CD-4A48-BA95-8006B3047FA3}" name="WorksheetConnection_Alasal 2.xlsx!AnaTablo" type="102" refreshedVersion="8" minRefreshableVersion="5">
    <extLst>
      <ext xmlns:x15="http://schemas.microsoft.com/office/spreadsheetml/2010/11/main" uri="{DE250136-89BD-433C-8126-D09CA5730AF9}">
        <x15:connection id="AnaTablo" autoDelete="1">
          <x15:rangePr sourceName="_xlcn.WorksheetConnection_Alasal2.xlsxAnaTablo"/>
        </x15:connection>
      </ext>
    </extLst>
  </connection>
  <connection id="3" xr16:uid="{C6649EE6-ECD3-4FDF-AEB4-364A9121C4AD}" name="WorksheetConnection_Alasal 2.xlsx!İkiTablo" type="102" refreshedVersion="8" minRefreshableVersion="5">
    <extLst>
      <ext xmlns:x15="http://schemas.microsoft.com/office/spreadsheetml/2010/11/main" uri="{DE250136-89BD-433C-8126-D09CA5730AF9}">
        <x15:connection id="İkiTablo" autoDelete="1">
          <x15:rangePr sourceName="_xlcn.WorksheetConnection_Alasal2.xlsxİkiTablo"/>
        </x15:connection>
      </ext>
    </extLst>
  </connection>
  <connection id="4" xr16:uid="{B2C42863-5257-49A3-B91F-3A9FE9D538C7}" name="WorksheetConnection_Sayfa1!$P$8:$T$24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ayfa1P8T24"/>
        </x15:connection>
      </ext>
    </extLst>
  </connection>
</connections>
</file>

<file path=xl/sharedStrings.xml><?xml version="1.0" encoding="utf-8"?>
<sst xmlns="http://schemas.openxmlformats.org/spreadsheetml/2006/main" count="419" uniqueCount="65">
  <si>
    <t>müşteri adi</t>
  </si>
  <si>
    <t>açıklama</t>
  </si>
  <si>
    <t>bölge</t>
  </si>
  <si>
    <t>tarih</t>
  </si>
  <si>
    <t>MÜŞTERİLERİN VERİLERİ</t>
  </si>
  <si>
    <t>fatura</t>
  </si>
  <si>
    <t>istanbul</t>
  </si>
  <si>
    <t>ahmad</t>
  </si>
  <si>
    <t>sara</t>
  </si>
  <si>
    <t>lana</t>
  </si>
  <si>
    <t>rania</t>
  </si>
  <si>
    <t>dania</t>
  </si>
  <si>
    <t>mohammed</t>
  </si>
  <si>
    <t>luna</t>
  </si>
  <si>
    <t>yaser</t>
  </si>
  <si>
    <t>ümit</t>
  </si>
  <si>
    <t>esmer</t>
  </si>
  <si>
    <t>riyad</t>
  </si>
  <si>
    <t>muammer</t>
  </si>
  <si>
    <t>yousra</t>
  </si>
  <si>
    <t>khaled</t>
  </si>
  <si>
    <t>baraa</t>
  </si>
  <si>
    <t>majed</t>
  </si>
  <si>
    <t>vergi</t>
  </si>
  <si>
    <t>indrim</t>
  </si>
  <si>
    <t>tekirdağ</t>
  </si>
  <si>
    <t>isparta</t>
  </si>
  <si>
    <t>bursa</t>
  </si>
  <si>
    <t>siirt</t>
  </si>
  <si>
    <t>malatya</t>
  </si>
  <si>
    <t>gaziosmanpaşa</t>
  </si>
  <si>
    <t>aksaray</t>
  </si>
  <si>
    <t>manisa</t>
  </si>
  <si>
    <t>alanya</t>
  </si>
  <si>
    <t>iğdir</t>
  </si>
  <si>
    <t>balıkesir</t>
  </si>
  <si>
    <t>sakarya</t>
  </si>
  <si>
    <t>samsun</t>
  </si>
  <si>
    <t>trabzon</t>
  </si>
  <si>
    <t>gaziantep</t>
  </si>
  <si>
    <t>adana</t>
  </si>
  <si>
    <t>toplam</t>
  </si>
  <si>
    <t>dönüş</t>
  </si>
  <si>
    <t>net karı</t>
  </si>
  <si>
    <t>MÜŞTERİ ESTETİĞİ</t>
  </si>
  <si>
    <t>toplam satışlar</t>
  </si>
  <si>
    <t>müşteri tipi</t>
  </si>
  <si>
    <t>satışlar oranı</t>
  </si>
  <si>
    <t>Row Labels</t>
  </si>
  <si>
    <t>Grand Total</t>
  </si>
  <si>
    <t>normal bir müşteri</t>
  </si>
  <si>
    <t>güçlü bir müşteri</t>
  </si>
  <si>
    <t xml:space="preserve"> satışlar oranı</t>
  </si>
  <si>
    <t>Column Labels</t>
  </si>
  <si>
    <t>Total toplam satışlar</t>
  </si>
  <si>
    <t>Total  satışlar oranı</t>
  </si>
  <si>
    <t>May</t>
  </si>
  <si>
    <t>Haz</t>
  </si>
  <si>
    <t>Sum of fatura</t>
  </si>
  <si>
    <t>Sum of vergi</t>
  </si>
  <si>
    <t>Sum of net karı</t>
  </si>
  <si>
    <t>Total</t>
  </si>
  <si>
    <t>Sum of toplam satışlar</t>
  </si>
  <si>
    <t>Sum of satışlar oranı</t>
  </si>
  <si>
    <t>&gt;=14.05.2020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</si>
</sst>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dd/mm/yy;@"/>
    <numFmt numFmtId="165" formatCode="0.0%"/>
  </numFmts>
  <fonts count="9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6"/>
      <color theme="0"/>
      <name val="Aptos Narrow"/>
      <family val="2"/>
      <charset val="16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8"/>
      <color theme="1"/>
      <name val="Aptos Narrow"/>
      <family val="2"/>
      <charset val="162"/>
      <scheme val="minor"/>
    </font>
    <font>
      <sz val="20"/>
      <color theme="0"/>
      <name val="Aptos Narrow"/>
      <family val="2"/>
      <charset val="162"/>
      <scheme val="minor"/>
    </font>
    <font>
      <b/>
      <sz val="12"/>
      <color theme="0"/>
      <name val="Aptos Narrow"/>
      <family val="2"/>
    </font>
    <font>
      <sz val="20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theme="4" tint="0.59999389629810485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1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  <xf numFmtId="0" fontId="5" fillId="0" borderId="0" xfId="0" applyFont="1"/>
    <xf numFmtId="0" fontId="0" fillId="4" borderId="1" xfId="0" applyFill="1" applyBorder="1"/>
    <xf numFmtId="2" fontId="0" fillId="4" borderId="1" xfId="0" applyNumberFormat="1" applyFill="1" applyBorder="1"/>
    <xf numFmtId="0" fontId="0" fillId="3" borderId="1" xfId="0" applyFill="1" applyBorder="1"/>
    <xf numFmtId="2" fontId="0" fillId="3" borderId="1" xfId="0" applyNumberFormat="1" applyFill="1" applyBorder="1"/>
    <xf numFmtId="0" fontId="0" fillId="5" borderId="1" xfId="0" applyFill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  <xf numFmtId="2" fontId="0" fillId="7" borderId="2" xfId="0" applyNumberFormat="1" applyFill="1" applyBorder="1"/>
    <xf numFmtId="0" fontId="0" fillId="7" borderId="0" xfId="0" applyFill="1"/>
    <xf numFmtId="0" fontId="0" fillId="0" borderId="4" xfId="0" applyBorder="1"/>
    <xf numFmtId="14" fontId="0" fillId="0" borderId="1" xfId="0" applyNumberFormat="1" applyBorder="1"/>
    <xf numFmtId="0" fontId="0" fillId="7" borderId="1" xfId="0" applyFill="1" applyBorder="1"/>
    <xf numFmtId="44" fontId="3" fillId="9" borderId="1" xfId="0" applyNumberFormat="1" applyFont="1" applyFill="1" applyBorder="1"/>
    <xf numFmtId="44" fontId="0" fillId="7" borderId="0" xfId="0" applyNumberFormat="1" applyFill="1"/>
    <xf numFmtId="165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right" indent="1"/>
    </xf>
    <xf numFmtId="44" fontId="0" fillId="0" borderId="0" xfId="0" applyNumberFormat="1"/>
    <xf numFmtId="0" fontId="0" fillId="0" borderId="0" xfId="0" applyAlignment="1">
      <alignment horizontal="right" indent="2"/>
    </xf>
    <xf numFmtId="0" fontId="0" fillId="4" borderId="5" xfId="0" applyFill="1" applyBorder="1"/>
    <xf numFmtId="14" fontId="0" fillId="5" borderId="5" xfId="0" applyNumberFormat="1" applyFill="1" applyBorder="1"/>
    <xf numFmtId="0" fontId="0" fillId="0" borderId="5" xfId="0" applyBorder="1"/>
    <xf numFmtId="0" fontId="0" fillId="6" borderId="5" xfId="0" applyFill="1" applyBorder="1"/>
    <xf numFmtId="0" fontId="0" fillId="3" borderId="5" xfId="0" applyFill="1" applyBorder="1"/>
    <xf numFmtId="164" fontId="0" fillId="0" borderId="6" xfId="1" applyNumberFormat="1" applyFont="1" applyBorder="1"/>
    <xf numFmtId="0" fontId="4" fillId="2" borderId="7" xfId="0" applyFont="1" applyFill="1" applyBorder="1" applyAlignment="1">
      <alignment horizontal="right" indent="1"/>
    </xf>
    <xf numFmtId="0" fontId="4" fillId="2" borderId="4" xfId="0" applyFont="1" applyFill="1" applyBorder="1" applyAlignment="1">
      <alignment horizontal="right" indent="1"/>
    </xf>
    <xf numFmtId="0" fontId="4" fillId="2" borderId="4" xfId="0" applyFont="1" applyFill="1" applyBorder="1" applyAlignment="1">
      <alignment horizontal="right" indent="2"/>
    </xf>
    <xf numFmtId="0" fontId="4" fillId="2" borderId="4" xfId="0" applyFont="1" applyFill="1" applyBorder="1" applyAlignment="1">
      <alignment horizontal="right" indent="5"/>
    </xf>
    <xf numFmtId="0" fontId="4" fillId="2" borderId="8" xfId="0" applyFont="1" applyFill="1" applyBorder="1" applyAlignment="1">
      <alignment horizontal="right" indent="2"/>
    </xf>
    <xf numFmtId="0" fontId="0" fillId="6" borderId="9" xfId="0" applyFill="1" applyBorder="1"/>
    <xf numFmtId="0" fontId="0" fillId="6" borderId="3" xfId="0" applyFill="1" applyBorder="1"/>
    <xf numFmtId="2" fontId="0" fillId="6" borderId="3" xfId="0" applyNumberFormat="1" applyFill="1" applyBorder="1"/>
    <xf numFmtId="44" fontId="3" fillId="9" borderId="3" xfId="0" applyNumberFormat="1" applyFont="1" applyFill="1" applyBorder="1"/>
    <xf numFmtId="164" fontId="0" fillId="0" borderId="10" xfId="1" applyNumberFormat="1" applyFont="1" applyBorder="1"/>
    <xf numFmtId="0" fontId="0" fillId="0" borderId="10" xfId="0" applyBorder="1"/>
    <xf numFmtId="0" fontId="0" fillId="0" borderId="9" xfId="0" applyBorder="1"/>
    <xf numFmtId="0" fontId="0" fillId="0" borderId="8" xfId="0" applyBorder="1"/>
    <xf numFmtId="0" fontId="0" fillId="0" borderId="3" xfId="0" applyBorder="1"/>
    <xf numFmtId="0" fontId="3" fillId="9" borderId="3" xfId="0" applyFont="1" applyFill="1" applyBorder="1"/>
    <xf numFmtId="0" fontId="1" fillId="0" borderId="10" xfId="0" applyFont="1" applyBorder="1"/>
    <xf numFmtId="14" fontId="0" fillId="0" borderId="6" xfId="0" applyNumberFormat="1" applyBorder="1"/>
    <xf numFmtId="0" fontId="0" fillId="0" borderId="6" xfId="0" applyBorder="1"/>
    <xf numFmtId="0" fontId="7" fillId="8" borderId="11" xfId="0" applyFont="1" applyFill="1" applyBorder="1"/>
    <xf numFmtId="0" fontId="7" fillId="8" borderId="2" xfId="0" applyFont="1" applyFill="1" applyBorder="1"/>
    <xf numFmtId="0" fontId="7" fillId="8" borderId="12" xfId="0" applyFont="1" applyFill="1" applyBorder="1"/>
    <xf numFmtId="0" fontId="4" fillId="2" borderId="1" xfId="0" applyFont="1" applyFill="1" applyBorder="1" applyAlignment="1">
      <alignment horizontal="right" indent="2"/>
    </xf>
    <xf numFmtId="164" fontId="0" fillId="10" borderId="1" xfId="1" applyNumberFormat="1" applyFont="1" applyFill="1" applyBorder="1"/>
    <xf numFmtId="0" fontId="4" fillId="2" borderId="1" xfId="0" applyFont="1" applyFill="1" applyBorder="1" applyAlignment="1">
      <alignment horizontal="right" indent="1"/>
    </xf>
    <xf numFmtId="0" fontId="2" fillId="2" borderId="0" xfId="0" applyFont="1" applyFill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5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162"/>
        <scheme val="minor"/>
      </font>
      <numFmt numFmtId="164" formatCode="dd/mm/yy;@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₺&quot;* #,##0.00_-;\-&quot;₺&quot;* #,##0.00_-;_-&quot;₺&quot;* &quot;-&quot;??_-;_-@_-"/>
      <fill>
        <patternFill patternType="solid">
          <fgColor indexed="64"/>
          <bgColor theme="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Aptos Narrow"/>
        <family val="2"/>
        <scheme val="minor"/>
      </font>
      <fill>
        <patternFill patternType="solid">
          <fgColor indexed="64"/>
          <bgColor theme="3" tint="0.499984740745262"/>
        </patternFill>
      </fill>
      <alignment horizontal="right" vertical="bottom" textRotation="0" wrapText="0" indent="2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4" formatCode="0.00%"/>
    </dxf>
    <dxf>
      <numFmt numFmtId="2" formatCode="0.00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>
        <c:manualLayout>
          <c:layoutTarget val="inner"/>
          <c:xMode val="edge"/>
          <c:yMode val="edge"/>
          <c:x val="0.14265056250600969"/>
          <c:y val="0.11967590751492764"/>
          <c:w val="0.82288794053415093"/>
          <c:h val="0.6317865947194024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Sayfa1!$Q$8</c:f>
              <c:strCache>
                <c:ptCount val="1"/>
                <c:pt idx="0">
                  <c:v>toplam satışlar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layout>
                <c:manualLayout>
                  <c:x val="1.7811805012922989E-2"/>
                  <c:y val="-1.2150668286755772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F2C-4AFD-8EC9-C7AA157B2EC5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tr-T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DF2C-4AFD-8EC9-C7AA157B2EC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Sayfa1!$P$9:$P$19</c:f>
              <c:strCache>
                <c:ptCount val="11"/>
                <c:pt idx="0">
                  <c:v>ahmad</c:v>
                </c:pt>
                <c:pt idx="1">
                  <c:v>sara</c:v>
                </c:pt>
                <c:pt idx="2">
                  <c:v>lana</c:v>
                </c:pt>
                <c:pt idx="3">
                  <c:v>rania</c:v>
                </c:pt>
                <c:pt idx="4">
                  <c:v>dania</c:v>
                </c:pt>
                <c:pt idx="5">
                  <c:v>mohammed</c:v>
                </c:pt>
                <c:pt idx="6">
                  <c:v>luna</c:v>
                </c:pt>
                <c:pt idx="7">
                  <c:v>yaser</c:v>
                </c:pt>
                <c:pt idx="8">
                  <c:v>ümit</c:v>
                </c:pt>
                <c:pt idx="9">
                  <c:v>esmer</c:v>
                </c:pt>
                <c:pt idx="10">
                  <c:v>riyad</c:v>
                </c:pt>
              </c:strCache>
            </c:strRef>
          </c:xVal>
          <c:yVal>
            <c:numRef>
              <c:f>Sayfa1!$Q$9:$Q$19</c:f>
              <c:numCache>
                <c:formatCode>0.00</c:formatCode>
                <c:ptCount val="11"/>
                <c:pt idx="0">
                  <c:v>1720</c:v>
                </c:pt>
                <c:pt idx="1">
                  <c:v>258</c:v>
                </c:pt>
                <c:pt idx="2">
                  <c:v>860</c:v>
                </c:pt>
                <c:pt idx="3">
                  <c:v>1806</c:v>
                </c:pt>
                <c:pt idx="4">
                  <c:v>2365</c:v>
                </c:pt>
                <c:pt idx="5">
                  <c:v>3440</c:v>
                </c:pt>
                <c:pt idx="6">
                  <c:v>4730</c:v>
                </c:pt>
                <c:pt idx="7">
                  <c:v>6020</c:v>
                </c:pt>
                <c:pt idx="8">
                  <c:v>1591</c:v>
                </c:pt>
                <c:pt idx="9">
                  <c:v>0</c:v>
                </c:pt>
                <c:pt idx="10">
                  <c:v>-911.6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2C-4AFD-8EC9-C7AA157B2EC5}"/>
            </c:ext>
          </c:extLst>
        </c:ser>
        <c:ser>
          <c:idx val="1"/>
          <c:order val="1"/>
          <c:tx>
            <c:strRef>
              <c:f>Sayfa1!$T$8</c:f>
              <c:strCache>
                <c:ptCount val="1"/>
                <c:pt idx="0">
                  <c:v>bölge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strRef>
              <c:f>Sayfa1!$P$9:$P$19</c:f>
              <c:strCache>
                <c:ptCount val="11"/>
                <c:pt idx="0">
                  <c:v>ahmad</c:v>
                </c:pt>
                <c:pt idx="1">
                  <c:v>sara</c:v>
                </c:pt>
                <c:pt idx="2">
                  <c:v>lana</c:v>
                </c:pt>
                <c:pt idx="3">
                  <c:v>rania</c:v>
                </c:pt>
                <c:pt idx="4">
                  <c:v>dania</c:v>
                </c:pt>
                <c:pt idx="5">
                  <c:v>mohammed</c:v>
                </c:pt>
                <c:pt idx="6">
                  <c:v>luna</c:v>
                </c:pt>
                <c:pt idx="7">
                  <c:v>yaser</c:v>
                </c:pt>
                <c:pt idx="8">
                  <c:v>ümit</c:v>
                </c:pt>
                <c:pt idx="9">
                  <c:v>esmer</c:v>
                </c:pt>
                <c:pt idx="10">
                  <c:v>riyad</c:v>
                </c:pt>
              </c:strCache>
            </c:strRef>
          </c:xVal>
          <c:yVal>
            <c:numRef>
              <c:f>Sayfa1!$T$9:$T$19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F2C-4AFD-8EC9-C7AA157B2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31143807"/>
        <c:axId val="1731152927"/>
      </c:scatterChart>
      <c:valAx>
        <c:axId val="1731143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1152927"/>
        <c:crosses val="autoZero"/>
        <c:crossBetween val="midCat"/>
      </c:valAx>
      <c:valAx>
        <c:axId val="17311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7311438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327342</xdr:colOff>
      <xdr:row>5</xdr:row>
      <xdr:rowOff>11747</xdr:rowOff>
    </xdr:from>
    <xdr:to>
      <xdr:col>33</xdr:col>
      <xdr:colOff>456882</xdr:colOff>
      <xdr:row>22</xdr:row>
      <xdr:rowOff>137160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994B95-9029-87F9-2391-E2D2D619E0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cer" refreshedDate="46038.073153819445" createdVersion="8" refreshedVersion="8" minRefreshableVersion="3" recordCount="27" xr:uid="{C3B81826-82ED-4818-A20F-8E3E5C1E04AF}">
  <cacheSource type="worksheet">
    <worksheetSource ref="G8:M35" sheet="Sayfa1"/>
  </cacheSource>
  <cacheFields count="9">
    <cacheField name="müşteri adi" numFmtId="0">
      <sharedItems count="16">
        <s v="ahmad"/>
        <s v="sara"/>
        <s v="lana"/>
        <s v="rania"/>
        <s v="dania"/>
        <s v="mohammed"/>
        <s v="luna"/>
        <s v="yaser"/>
        <s v="ümit"/>
        <s v="esmer"/>
        <s v="riyad"/>
        <s v="muammer"/>
        <s v="yousra"/>
        <s v="khaled"/>
        <s v="baraa"/>
        <s v="majed"/>
      </sharedItems>
    </cacheField>
    <cacheField name="açıklama" numFmtId="0">
      <sharedItems count="3">
        <s v="fatura"/>
        <s v="dönüş"/>
        <s v="indrim"/>
      </sharedItems>
    </cacheField>
    <cacheField name="fatura" numFmtId="2">
      <sharedItems containsSemiMixedTypes="0" containsString="0" containsNumber="1" containsInteger="1" minValue="300" maxValue="7000"/>
    </cacheField>
    <cacheField name="vergi" numFmtId="2">
      <sharedItems containsSemiMixedTypes="0" containsString="0" containsNumber="1" minValue="42.000000000000007" maxValue="980.00000000000011"/>
    </cacheField>
    <cacheField name="net karı" numFmtId="44">
      <sharedItems containsSemiMixedTypes="0" containsString="0" containsNumber="1" minValue="-2064" maxValue="6020"/>
    </cacheField>
    <cacheField name="bölge" numFmtId="0">
      <sharedItems count="23">
        <s v="istanbul"/>
        <s v="tekirdağ"/>
        <s v="isparta"/>
        <s v="bursa"/>
        <s v="siirt"/>
        <s v="malatya"/>
        <s v="antalya"/>
        <s v="izmir"/>
        <s v="gaziosmanpaşa"/>
        <s v="aksaray"/>
        <s v="manisa"/>
        <s v="alanya"/>
        <s v="eskişehir"/>
        <s v="iğdir"/>
        <s v="balıkesir"/>
        <s v="sapanca"/>
        <s v="sakarya"/>
        <s v="samsun"/>
        <s v="trabzon"/>
        <s v="gaziantep"/>
        <s v="urfa"/>
        <s v="adana"/>
        <s v="mersin"/>
      </sharedItems>
    </cacheField>
    <cacheField name="tarih" numFmtId="164">
      <sharedItems containsSemiMixedTypes="0" containsNonDate="0" containsDate="1" containsString="0" minDate="2020-05-14T00:00:00" maxDate="2020-06-10T00:00:00" count="27">
        <d v="2020-05-14T00:00:00"/>
        <d v="2020-05-15T00:00:00"/>
        <d v="2020-05-16T00:00:00"/>
        <d v="2020-05-17T00:00:00"/>
        <d v="2020-05-18T00:00:00"/>
        <d v="2020-05-19T00:00:00"/>
        <d v="2020-05-20T00:00:00"/>
        <d v="2020-05-21T00:00:00"/>
        <d v="2020-05-22T00:00:00"/>
        <d v="2020-05-23T00:00:00"/>
        <d v="2020-05-24T00:00:00"/>
        <d v="2020-05-25T00:00:00"/>
        <d v="2020-05-26T00:00:00"/>
        <d v="2020-05-27T00:00:00"/>
        <d v="2020-05-28T00:00:00"/>
        <d v="2020-05-29T00:00:00"/>
        <d v="2020-05-30T00:00:00"/>
        <d v="2020-05-31T00:00:00"/>
        <d v="2020-06-01T00:00:00"/>
        <d v="2020-06-02T00:00:00"/>
        <d v="2020-06-03T00:00:00"/>
        <d v="2020-06-04T00:00:00"/>
        <d v="2020-06-05T00:00:00"/>
        <d v="2020-06-06T00:00:00"/>
        <d v="2020-06-07T00:00:00"/>
        <d v="2020-06-08T00:00:00"/>
        <d v="2020-06-09T00:00:00"/>
      </sharedItems>
      <fieldGroup par="8"/>
    </cacheField>
    <cacheField name="Days (tarih)" numFmtId="0" databaseField="0">
      <fieldGroup base="6">
        <rangePr groupBy="days" startDate="2020-05-14T00:00:00" endDate="2020-06-10T00:00:00"/>
        <groupItems count="368">
          <s v="&lt;14.05.2020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10.06.2020"/>
        </groupItems>
      </fieldGroup>
    </cacheField>
    <cacheField name="Months (tarih)" numFmtId="0" databaseField="0">
      <fieldGroup base="6">
        <rangePr groupBy="months" startDate="2020-05-14T00:00:00" endDate="2020-06-10T00:00:00"/>
        <groupItems count="14">
          <s v="&lt;14.05.2020"/>
          <s v="Oca"/>
          <s v="Şub"/>
          <s v="Mar"/>
          <s v="Nis"/>
          <s v="May"/>
          <s v="Haz"/>
          <s v="Tem"/>
          <s v="Ağu"/>
          <s v="Eyl"/>
          <s v="Eki"/>
          <s v="Kas"/>
          <s v="Ara"/>
          <s v="&gt;10.06.202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36.920159027781" backgroundQuery="1" createdVersion="8" refreshedVersion="8" minRefreshableVersion="3" recordCount="0" supportSubquery="1" supportAdvancedDrill="1" xr:uid="{09ECD663-BC4D-4928-B690-D086053E73E8}">
  <cacheSource type="external" connectionId="1"/>
  <cacheFields count="5">
    <cacheField name="[Range].[müşteri].[müşteri]" caption="müşteri" numFmtId="0" hierarchy="13" level="1">
      <sharedItems containsBlank="1" count="12">
        <s v="ahmad"/>
        <s v="dania"/>
        <s v="esmer"/>
        <s v="lana"/>
        <s v="luna"/>
        <s v="mohammed"/>
        <s v="rania"/>
        <s v="riyad"/>
        <s v="sara"/>
        <s v="ümit"/>
        <s v="yaser"/>
        <m u="1"/>
      </sharedItems>
    </cacheField>
    <cacheField name="[Measures].[Sum of toplam satışlar]" caption="Sum of toplam satışlar" numFmtId="0" hierarchy="23" level="32767"/>
    <cacheField name="[Range].[müşteri tipi].[müşteri tipi]" caption="müşteri tipi" numFmtId="0" hierarchy="15" level="1">
      <sharedItems count="2">
        <s v="güçlü bir müşteri"/>
        <s v="normal bir müşteri"/>
      </sharedItems>
    </cacheField>
    <cacheField name="[Measures].[Sum of satışlar oranı]" caption="Sum of satışlar oranı" numFmtId="0" hierarchy="24" level="32767"/>
    <cacheField name="[Range].[bölge].[bölge]" caption="bölge" numFmtId="0" hierarchy="17" level="1">
      <sharedItems count="11">
        <s v="aksaray"/>
        <s v="alanya"/>
        <s v="bursa"/>
        <s v="gaziosmanpaşa"/>
        <s v="iğdir"/>
        <s v="isparta"/>
        <s v="istanbul"/>
        <s v="malatya"/>
        <s v="manisa"/>
        <s v="siirt"/>
        <s v="tekirdağ"/>
      </sharedItems>
    </cacheField>
  </cacheFields>
  <cacheHierarchies count="31">
    <cacheHierarchy uniqueName="[AnaTablo].[müşteri adi]" caption="müşteri adi" attribute="1" defaultMemberUniqueName="[AnaTablo].[müşteri adi].[All]" allUniqueName="[AnaTablo].[müşteri adi].[All]" dimensionUniqueName="[AnaTablo]" displayFolder="" count="0" memberValueDatatype="130" unbalanced="0"/>
    <cacheHierarchy uniqueName="[AnaTablo].[açıklama]" caption="açıklama" attribute="1" defaultMemberUniqueName="[AnaTablo].[açıklama].[All]" allUniqueName="[AnaTablo].[açıklama].[All]" dimensionUniqueName="[AnaTablo]" displayFolder="" count="0" memberValueDatatype="130" unbalanced="0"/>
    <cacheHierarchy uniqueName="[AnaTablo].[fatura]" caption="fatura" attribute="1" defaultMemberUniqueName="[AnaTablo].[fatura].[All]" allUniqueName="[AnaTablo].[fatura].[All]" dimensionUniqueName="[AnaTablo]" displayFolder="" count="0" memberValueDatatype="20" unbalanced="0"/>
    <cacheHierarchy uniqueName="[AnaTablo].[vergi]" caption="vergi" attribute="1" defaultMemberUniqueName="[AnaTablo].[vergi].[All]" allUniqueName="[AnaTablo].[vergi].[All]" dimensionUniqueName="[AnaTablo]" displayFolder="" count="0" memberValueDatatype="5" unbalanced="0"/>
    <cacheHierarchy uniqueName="[AnaTablo].[net karı]" caption="net karı" attribute="1" defaultMemberUniqueName="[AnaTablo].[net karı].[All]" allUniqueName="[AnaTablo].[net karı].[All]" dimensionUniqueName="[AnaTablo]" displayFolder="" count="0" memberValueDatatype="5" unbalanced="0"/>
    <cacheHierarchy uniqueName="[AnaTablo].[bölge]" caption="bölge" attribute="1" defaultMemberUniqueName="[AnaTablo].[bölge].[All]" allUniqueName="[AnaTablo].[bölge].[All]" dimensionUniqueName="[AnaTablo]" displayFolder="" count="0" memberValueDatatype="130" unbalanced="0"/>
    <cacheHierarchy uniqueName="[AnaTablo].[tarih]" caption="tarih" attribute="1" time="1" defaultMemberUniqueName="[AnaTablo].[tarih].[All]" allUniqueName="[AnaTablo].[tarih].[All]" dimensionUniqueName="[AnaTablo]" displayFolder="" count="0" memberValueDatatype="7" unbalanced="0"/>
    <cacheHierarchy uniqueName="[AnaTablo].[tarih (Month)]" caption="tarih (Month)" attribute="1" defaultMemberUniqueName="[AnaTablo].[tarih (Month)].[All]" allUniqueName="[AnaTablo].[tarih (Month)].[All]" dimensionUniqueName="[AnaTablo]" displayFolder="" count="0" memberValueDatatype="130" unbalanced="0"/>
    <cacheHierarchy uniqueName="[İkiTablo].[müşteri adi]" caption="müşteri adi" attribute="1" defaultMemberUniqueName="[İkiTablo].[müşteri adi].[All]" allUniqueName="[İkiTablo].[müşteri adi].[All]" dimensionUniqueName="[İkiTablo]" displayFolder="" count="0" memberValueDatatype="130" unbalanced="0"/>
    <cacheHierarchy uniqueName="[İkiTablo].[toplam satışlar]" caption="toplam satışlar" attribute="1" defaultMemberUniqueName="[İkiTablo].[toplam satışlar].[All]" allUniqueName="[İkiTablo].[toplam satışlar].[All]" dimensionUniqueName="[İkiTablo]" displayFolder="" count="0" memberValueDatatype="5" unbalanced="0"/>
    <cacheHierarchy uniqueName="[İkiTablo].[müşteri tipi]" caption="müşteri tipi" attribute="1" defaultMemberUniqueName="[İkiTablo].[müşteri tipi].[All]" allUniqueName="[İkiTablo].[müşteri tipi].[All]" dimensionUniqueName="[İkiTablo]" displayFolder="" count="0" memberValueDatatype="130" unbalanced="0"/>
    <cacheHierarchy uniqueName="[İkiTablo].[satışlar oranı]" caption="satışlar oranı" attribute="1" defaultMemberUniqueName="[İkiTablo].[satışlar oranı].[All]" allUniqueName="[İkiTablo].[satışlar oranı].[All]" dimensionUniqueName="[İkiTablo]" displayFolder="" count="0" memberValueDatatype="5" unbalanced="0"/>
    <cacheHierarchy uniqueName="[İkiTablo].[bölge]" caption="bölge" attribute="1" defaultMemberUniqueName="[İkiTablo].[bölge].[All]" allUniqueName="[İkiTablo].[bölge].[All]" dimensionUniqueName="[İkiTablo]" displayFolder="" count="0" memberValueDatatype="130" unbalanced="0"/>
    <cacheHierarchy uniqueName="[Range].[müşteri]" caption="müşteri" attribute="1" defaultMemberUniqueName="[Range].[müşteri].[All]" allUniqueName="[Range].[müşteri].[All]" dimensionUniqueName="[Range]" displayFolder="" count="2" memberValueDatatype="130" unbalanced="0">
      <fieldsUsage count="2">
        <fieldUsage x="-1"/>
        <fieldUsage x="0"/>
      </fieldsUsage>
    </cacheHierarchy>
    <cacheHierarchy uniqueName="[Range].[toplam satışlar]" caption="toplam satışlar" attribute="1" defaultMemberUniqueName="[Range].[toplam satışlar].[All]" allUniqueName="[Range].[toplam satışlar].[All]" dimensionUniqueName="[Range]" displayFolder="" count="0" memberValueDatatype="5" unbalanced="0"/>
    <cacheHierarchy uniqueName="[Range].[müşteri tipi]" caption="müşteri tipi" attribute="1" defaultMemberUniqueName="[Range].[müşteri tipi].[All]" allUniqueName="[Range].[müşteri tipi].[All]" dimensionUniqueName="[Range]" displayFolder="" count="2" memberValueDatatype="130" unbalanced="0">
      <fieldsUsage count="2">
        <fieldUsage x="-1"/>
        <fieldUsage x="2"/>
      </fieldsUsage>
    </cacheHierarchy>
    <cacheHierarchy uniqueName="[Range].[satışlar oranı]" caption="satışlar oranı" attribute="1" defaultMemberUniqueName="[Range].[satışlar oranı].[All]" allUniqueName="[Range].[satışlar oranı].[All]" dimensionUniqueName="[Range]" displayFolder="" count="0" memberValueDatatype="5" unbalanced="0"/>
    <cacheHierarchy uniqueName="[Range].[bölge]" caption="bölge" attribute="1" defaultMemberUniqueName="[Range].[bölge].[All]" allUniqueName="[Range].[bölge].[All]" dimensionUniqueName="[Range]" displayFolder="" count="2" memberValueDatatype="130" unbalanced="0">
      <fieldsUsage count="2">
        <fieldUsage x="-1"/>
        <fieldUsage x="4"/>
      </fieldsUsage>
    </cacheHierarchy>
    <cacheHierarchy uniqueName="[AnaTablo].[tarih (Month Index)]" caption="tarih (Month Index)" attribute="1" defaultMemberUniqueName="[AnaTablo].[tarih (Month Index)].[All]" allUniqueName="[AnaTablo].[tarih (Month Index)].[All]" dimensionUniqueName="[AnaTablo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AnaTablo]" caption="__XL_Count AnaTablo" measure="1" displayFolder="" measureGroup="AnaTablo" count="0" hidden="1"/>
    <cacheHierarchy uniqueName="[Measures].[__XL_Count İkiTablo]" caption="__XL_Count İkiTablo" measure="1" displayFolder="" measureGroup="İkiTablo" count="0" hidden="1"/>
    <cacheHierarchy uniqueName="[Measures].[__No measures defined]" caption="__No measures defined" measure="1" displayFolder="" count="0" hidden="1"/>
    <cacheHierarchy uniqueName="[Measures].[Sum of toplam satışlar]" caption="Sum of toplam satışlar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ışlar oranı]" caption="Sum of satışlar oranı" measure="1" displayFolder="" measureGroup="Range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ölge]" caption="Count of bölg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fatura]" caption="Sum of fatura" measure="1" displayFolder="" measureGroup="AnaTab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vergi]" caption="Sum of vergi" measure="1" displayFolder="" measureGroup="AnaTabl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et karı]" caption="Sum of net karı" measure="1" displayFolder="" measureGroup="AnaTab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plam satışlar 2]" caption="Sum of toplam satışlar 2" measure="1" displayFolder="" measureGroup="İkiTabl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tışlar oranı 2]" caption="Sum of satışlar oranı 2" measure="1" displayFolder="" measureGroup="İkiTab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AnaTablo" uniqueName="[AnaTablo]" caption="AnaTablo"/>
    <dimension name="İkiTablo" uniqueName="[İkiTablo]" caption="İkiTablo"/>
    <dimension measure="1" name="Measures" uniqueName="[Measures]" caption="Measures"/>
    <dimension name="Range" uniqueName="[Range]" caption="Range"/>
  </dimensions>
  <measureGroups count="3">
    <measureGroup name="AnaTablo" caption="AnaTablo"/>
    <measureGroup name="İkiTablo" caption="İkiTablo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38.106856481485" backgroundQuery="1" createdVersion="8" refreshedVersion="8" minRefreshableVersion="3" recordCount="0" supportSubquery="1" supportAdvancedDrill="1" xr:uid="{D5578244-BA5C-4217-850A-124AE0FB405D}">
  <cacheSource type="external" connectionId="1"/>
  <cacheFields count="5">
    <cacheField name="[İkiTablo].[müşteri adi].[müşteri adi]" caption="müşteri adi" numFmtId="0" hierarchy="8" level="1">
      <sharedItems count="11">
        <s v="ahmad"/>
        <s v="dania"/>
        <s v="esmer"/>
        <s v="lana"/>
        <s v="luna"/>
        <s v="mohammed"/>
        <s v="rania"/>
        <s v="riyad"/>
        <s v="sara"/>
        <s v="ümit"/>
        <s v="yaser"/>
      </sharedItems>
    </cacheField>
    <cacheField name="[Measures].[Sum of toplam satışlar 2]" caption="Sum of toplam satışlar 2" numFmtId="0" hierarchy="29" level="32767"/>
    <cacheField name="[İkiTablo].[müşteri tipi].[müşteri tipi]" caption="müşteri tipi" numFmtId="0" hierarchy="10" level="1">
      <sharedItems count="2">
        <s v="normal bir müşteri"/>
        <s v="güçlü bir müşteri"/>
      </sharedItems>
    </cacheField>
    <cacheField name="[Measures].[Sum of satışlar oranı 2]" caption="Sum of satışlar oranı 2" numFmtId="0" hierarchy="30" level="32767"/>
    <cacheField name="[İkiTablo].[bölge].[bölge]" caption="bölge" numFmtId="0" hierarchy="12" level="1">
      <sharedItems count="11">
        <s v="istanbul"/>
        <s v="siirt"/>
        <s v="alanya"/>
        <s v="isparta"/>
        <s v="gaziosmanpaşa"/>
        <s v="malatya"/>
        <s v="bursa"/>
        <s v="iğdir"/>
        <s v="tekirdağ"/>
        <s v="manisa"/>
        <s v="aksaray"/>
      </sharedItems>
    </cacheField>
  </cacheFields>
  <cacheHierarchies count="31">
    <cacheHierarchy uniqueName="[AnaTablo].[müşteri adi]" caption="müşteri adi" attribute="1" defaultMemberUniqueName="[AnaTablo].[müşteri adi].[All]" allUniqueName="[AnaTablo].[müşteri adi].[All]" dimensionUniqueName="[AnaTablo]" displayFolder="" count="0" memberValueDatatype="130" unbalanced="0"/>
    <cacheHierarchy uniqueName="[AnaTablo].[açıklama]" caption="açıklama" attribute="1" defaultMemberUniqueName="[AnaTablo].[açıklama].[All]" allUniqueName="[AnaTablo].[açıklama].[All]" dimensionUniqueName="[AnaTablo]" displayFolder="" count="0" memberValueDatatype="130" unbalanced="0"/>
    <cacheHierarchy uniqueName="[AnaTablo].[fatura]" caption="fatura" attribute="1" defaultMemberUniqueName="[AnaTablo].[fatura].[All]" allUniqueName="[AnaTablo].[fatura].[All]" dimensionUniqueName="[AnaTablo]" displayFolder="" count="0" memberValueDatatype="20" unbalanced="0"/>
    <cacheHierarchy uniqueName="[AnaTablo].[vergi]" caption="vergi" attribute="1" defaultMemberUniqueName="[AnaTablo].[vergi].[All]" allUniqueName="[AnaTablo].[vergi].[All]" dimensionUniqueName="[AnaTablo]" displayFolder="" count="0" memberValueDatatype="5" unbalanced="0"/>
    <cacheHierarchy uniqueName="[AnaTablo].[net karı]" caption="net karı" attribute="1" defaultMemberUniqueName="[AnaTablo].[net karı].[All]" allUniqueName="[AnaTablo].[net karı].[All]" dimensionUniqueName="[AnaTablo]" displayFolder="" count="0" memberValueDatatype="5" unbalanced="0"/>
    <cacheHierarchy uniqueName="[AnaTablo].[bölge]" caption="bölge" attribute="1" defaultMemberUniqueName="[AnaTablo].[bölge].[All]" allUniqueName="[AnaTablo].[bölge].[All]" dimensionUniqueName="[AnaTablo]" displayFolder="" count="0" memberValueDatatype="130" unbalanced="0"/>
    <cacheHierarchy uniqueName="[AnaTablo].[tarih]" caption="tarih" attribute="1" time="1" defaultMemberUniqueName="[AnaTablo].[tarih].[All]" allUniqueName="[AnaTablo].[tarih].[All]" dimensionUniqueName="[AnaTablo]" displayFolder="" count="0" memberValueDatatype="7" unbalanced="0"/>
    <cacheHierarchy uniqueName="[AnaTablo].[tarih (Month)]" caption="tarih (Month)" attribute="1" defaultMemberUniqueName="[AnaTablo].[tarih (Month)].[All]" allUniqueName="[AnaTablo].[tarih (Month)].[All]" dimensionUniqueName="[AnaTablo]" displayFolder="" count="0" memberValueDatatype="130" unbalanced="0"/>
    <cacheHierarchy uniqueName="[İkiTablo].[müşteri adi]" caption="müşteri adi" attribute="1" defaultMemberUniqueName="[İkiTablo].[müşteri adi].[All]" allUniqueName="[İkiTablo].[müşteri adi].[All]" dimensionUniqueName="[İkiTablo]" displayFolder="" count="2" memberValueDatatype="130" unbalanced="0">
      <fieldsUsage count="2">
        <fieldUsage x="-1"/>
        <fieldUsage x="0"/>
      </fieldsUsage>
    </cacheHierarchy>
    <cacheHierarchy uniqueName="[İkiTablo].[toplam satışlar]" caption="toplam satışlar" attribute="1" defaultMemberUniqueName="[İkiTablo].[toplam satışlar].[All]" allUniqueName="[İkiTablo].[toplam satışlar].[All]" dimensionUniqueName="[İkiTablo]" displayFolder="" count="0" memberValueDatatype="5" unbalanced="0"/>
    <cacheHierarchy uniqueName="[İkiTablo].[müşteri tipi]" caption="müşteri tipi" attribute="1" defaultMemberUniqueName="[İkiTablo].[müşteri tipi].[All]" allUniqueName="[İkiTablo].[müşteri tipi].[All]" dimensionUniqueName="[İkiTablo]" displayFolder="" count="2" memberValueDatatype="130" unbalanced="0">
      <fieldsUsage count="2">
        <fieldUsage x="-1"/>
        <fieldUsage x="2"/>
      </fieldsUsage>
    </cacheHierarchy>
    <cacheHierarchy uniqueName="[İkiTablo].[satışlar oranı]" caption="satışlar oranı" attribute="1" defaultMemberUniqueName="[İkiTablo].[satışlar oranı].[All]" allUniqueName="[İkiTablo].[satışlar oranı].[All]" dimensionUniqueName="[İkiTablo]" displayFolder="" count="0" memberValueDatatype="5" unbalanced="0"/>
    <cacheHierarchy uniqueName="[İkiTablo].[bölge]" caption="bölge" attribute="1" defaultMemberUniqueName="[İkiTablo].[bölge].[All]" allUniqueName="[İkiTablo].[bölge].[All]" dimensionUniqueName="[İkiTablo]" displayFolder="" count="2" memberValueDatatype="130" unbalanced="0">
      <fieldsUsage count="2">
        <fieldUsage x="-1"/>
        <fieldUsage x="4"/>
      </fieldsUsage>
    </cacheHierarchy>
    <cacheHierarchy uniqueName="[Range].[müşteri]" caption="müşteri" attribute="1" defaultMemberUniqueName="[Range].[müşteri].[All]" allUniqueName="[Range].[müşteri].[All]" dimensionUniqueName="[Range]" displayFolder="" count="0" memberValueDatatype="130" unbalanced="0"/>
    <cacheHierarchy uniqueName="[Range].[toplam satışlar]" caption="toplam satışlar" attribute="1" defaultMemberUniqueName="[Range].[toplam satışlar].[All]" allUniqueName="[Range].[toplam satışlar].[All]" dimensionUniqueName="[Range]" displayFolder="" count="0" memberValueDatatype="5" unbalanced="0"/>
    <cacheHierarchy uniqueName="[Range].[müşteri tipi]" caption="müşteri tipi" attribute="1" defaultMemberUniqueName="[Range].[müşteri tipi].[All]" allUniqueName="[Range].[müşteri tipi].[All]" dimensionUniqueName="[Range]" displayFolder="" count="0" memberValueDatatype="130" unbalanced="0"/>
    <cacheHierarchy uniqueName="[Range].[satışlar oranı]" caption="satışlar oranı" attribute="1" defaultMemberUniqueName="[Range].[satışlar oranı].[All]" allUniqueName="[Range].[satışlar oranı].[All]" dimensionUniqueName="[Range]" displayFolder="" count="0" memberValueDatatype="5" unbalanced="0"/>
    <cacheHierarchy uniqueName="[Range].[bölge]" caption="bölge" attribute="1" defaultMemberUniqueName="[Range].[bölge].[All]" allUniqueName="[Range].[bölge].[All]" dimensionUniqueName="[Range]" displayFolder="" count="0" memberValueDatatype="130" unbalanced="0"/>
    <cacheHierarchy uniqueName="[AnaTablo].[tarih (Month Index)]" caption="tarih (Month Index)" attribute="1" defaultMemberUniqueName="[AnaTablo].[tarih (Month Index)].[All]" allUniqueName="[AnaTablo].[tarih (Month Index)].[All]" dimensionUniqueName="[AnaTablo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AnaTablo]" caption="__XL_Count AnaTablo" measure="1" displayFolder="" measureGroup="AnaTablo" count="0" hidden="1"/>
    <cacheHierarchy uniqueName="[Measures].[__XL_Count İkiTablo]" caption="__XL_Count İkiTablo" measure="1" displayFolder="" measureGroup="İkiTablo" count="0" hidden="1"/>
    <cacheHierarchy uniqueName="[Measures].[__No measures defined]" caption="__No measures defined" measure="1" displayFolder="" count="0" hidden="1"/>
    <cacheHierarchy uniqueName="[Measures].[Sum of toplam satışlar]" caption="Sum of toplam satışlar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ışlar oranı]" caption="Sum of satışlar oranı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ölge]" caption="Count of bölg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fatura]" caption="Sum of fatura" measure="1" displayFolder="" measureGroup="AnaTablo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vergi]" caption="Sum of vergi" measure="1" displayFolder="" measureGroup="AnaTablo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et karı]" caption="Sum of net karı" measure="1" displayFolder="" measureGroup="AnaTablo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plam satışlar 2]" caption="Sum of toplam satışlar 2" measure="1" displayFolder="" measureGroup="İkiTab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tışlar oranı 2]" caption="Sum of satışlar oranı 2" measure="1" displayFolder="" measureGroup="İkiTablo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AnaTablo" uniqueName="[AnaTablo]" caption="AnaTablo"/>
    <dimension name="İkiTablo" uniqueName="[İkiTablo]" caption="İkiTablo"/>
    <dimension measure="1" name="Measures" uniqueName="[Measures]" caption="Measures"/>
    <dimension name="Range" uniqueName="[Range]" caption="Range"/>
  </dimensions>
  <measureGroups count="3">
    <measureGroup name="AnaTablo" caption="AnaTablo"/>
    <measureGroup name="İkiTablo" caption="İkiTablo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cer" refreshedDate="46038.126121643516" backgroundQuery="1" createdVersion="8" refreshedVersion="8" minRefreshableVersion="3" recordCount="0" supportSubquery="1" supportAdvancedDrill="1" xr:uid="{1A744D94-F324-4B52-B9EA-6E1717739369}">
  <cacheSource type="external" connectionId="1"/>
  <cacheFields count="5">
    <cacheField name="[Measures].[Sum of net karı]" caption="Sum of net karı" numFmtId="0" hierarchy="28" level="32767"/>
    <cacheField name="[Measures].[Sum of vergi]" caption="Sum of vergi" numFmtId="0" hierarchy="27" level="32767"/>
    <cacheField name="[Measures].[Sum of fatura]" caption="Sum of fatura" numFmtId="0" hierarchy="26" level="32767"/>
    <cacheField name="[AnaTablo].[açıklama].[açıklama]" caption="açıklama" numFmtId="0" hierarchy="1" level="1">
      <sharedItems count="3">
        <s v="dönüş"/>
        <s v="fatura"/>
        <s v="indrim"/>
      </sharedItems>
    </cacheField>
    <cacheField name="[AnaTablo].[müşteri adi].[müşteri adi]" caption="müşteri adi" numFmtId="0" level="1">
      <sharedItems count="16">
        <s v="ahmad"/>
        <s v="baraa"/>
        <s v="esmer"/>
        <s v="muammer"/>
        <s v="rania"/>
        <s v="dania"/>
        <s v="lana"/>
        <s v="luna"/>
        <s v="majed"/>
        <s v="mohammed"/>
        <s v="sara"/>
        <s v="ümit"/>
        <s v="yaser"/>
        <s v="khaled"/>
        <s v="riyad"/>
        <s v="yousra"/>
      </sharedItems>
    </cacheField>
  </cacheFields>
  <cacheHierarchies count="31">
    <cacheHierarchy uniqueName="[AnaTablo].[müşteri adi]" caption="müşteri adi" attribute="1" defaultMemberUniqueName="[AnaTablo].[müşteri adi].[All]" allUniqueName="[AnaTablo].[müşteri adi].[All]" dimensionUniqueName="[AnaTablo]" displayFolder="" count="2" memberValueDatatype="130" unbalanced="0">
      <fieldsUsage count="2">
        <fieldUsage x="-1"/>
        <fieldUsage x="4"/>
      </fieldsUsage>
    </cacheHierarchy>
    <cacheHierarchy uniqueName="[AnaTablo].[açıklama]" caption="açıklama" attribute="1" defaultMemberUniqueName="[AnaTablo].[açıklama].[All]" allUniqueName="[AnaTablo].[açıklama].[All]" dimensionUniqueName="[AnaTablo]" displayFolder="" count="2" memberValueDatatype="130" unbalanced="0">
      <fieldsUsage count="2">
        <fieldUsage x="-1"/>
        <fieldUsage x="3"/>
      </fieldsUsage>
    </cacheHierarchy>
    <cacheHierarchy uniqueName="[AnaTablo].[fatura]" caption="fatura" attribute="1" defaultMemberUniqueName="[AnaTablo].[fatura].[All]" allUniqueName="[AnaTablo].[fatura].[All]" dimensionUniqueName="[AnaTablo]" displayFolder="" count="0" memberValueDatatype="20" unbalanced="0"/>
    <cacheHierarchy uniqueName="[AnaTablo].[vergi]" caption="vergi" attribute="1" defaultMemberUniqueName="[AnaTablo].[vergi].[All]" allUniqueName="[AnaTablo].[vergi].[All]" dimensionUniqueName="[AnaTablo]" displayFolder="" count="0" memberValueDatatype="5" unbalanced="0"/>
    <cacheHierarchy uniqueName="[AnaTablo].[net karı]" caption="net karı" attribute="1" defaultMemberUniqueName="[AnaTablo].[net karı].[All]" allUniqueName="[AnaTablo].[net karı].[All]" dimensionUniqueName="[AnaTablo]" displayFolder="" count="0" memberValueDatatype="5" unbalanced="0"/>
    <cacheHierarchy uniqueName="[AnaTablo].[bölge]" caption="bölge" attribute="1" defaultMemberUniqueName="[AnaTablo].[bölge].[All]" allUniqueName="[AnaTablo].[bölge].[All]" dimensionUniqueName="[AnaTablo]" displayFolder="" count="2" memberValueDatatype="130" unbalanced="0"/>
    <cacheHierarchy uniqueName="[AnaTablo].[tarih]" caption="tarih" attribute="1" time="1" defaultMemberUniqueName="[AnaTablo].[tarih].[All]" allUniqueName="[AnaTablo].[tarih].[All]" dimensionUniqueName="[AnaTablo]" displayFolder="" count="2" memberValueDatatype="7" unbalanced="0"/>
    <cacheHierarchy uniqueName="[AnaTablo].[tarih (Month)]" caption="tarih (Month)" attribute="1" defaultMemberUniqueName="[AnaTablo].[tarih (Month)].[All]" allUniqueName="[AnaTablo].[tarih (Month)].[All]" dimensionUniqueName="[AnaTablo]" displayFolder="" count="2" memberValueDatatype="130" unbalanced="0"/>
    <cacheHierarchy uniqueName="[İkiTablo].[müşteri adi]" caption="müşteri adi" attribute="1" defaultMemberUniqueName="[İkiTablo].[müşteri adi].[All]" allUniqueName="[İkiTablo].[müşteri adi].[All]" dimensionUniqueName="[İkiTablo]" displayFolder="" count="2" memberValueDatatype="130" unbalanced="0"/>
    <cacheHierarchy uniqueName="[İkiTablo].[toplam satışlar]" caption="toplam satışlar" attribute="1" defaultMemberUniqueName="[İkiTablo].[toplam satışlar].[All]" allUniqueName="[İkiTablo].[toplam satışlar].[All]" dimensionUniqueName="[İkiTablo]" displayFolder="" count="0" memberValueDatatype="5" unbalanced="0"/>
    <cacheHierarchy uniqueName="[İkiTablo].[müşteri tipi]" caption="müşteri tipi" attribute="1" defaultMemberUniqueName="[İkiTablo].[müşteri tipi].[All]" allUniqueName="[İkiTablo].[müşteri tipi].[All]" dimensionUniqueName="[İkiTablo]" displayFolder="" count="0" memberValueDatatype="130" unbalanced="0"/>
    <cacheHierarchy uniqueName="[İkiTablo].[satışlar oranı]" caption="satışlar oranı" attribute="1" defaultMemberUniqueName="[İkiTablo].[satışlar oranı].[All]" allUniqueName="[İkiTablo].[satışlar oranı].[All]" dimensionUniqueName="[İkiTablo]" displayFolder="" count="0" memberValueDatatype="5" unbalanced="0"/>
    <cacheHierarchy uniqueName="[İkiTablo].[bölge]" caption="bölge" attribute="1" defaultMemberUniqueName="[İkiTablo].[bölge].[All]" allUniqueName="[İkiTablo].[bölge].[All]" dimensionUniqueName="[İkiTablo]" displayFolder="" count="0" memberValueDatatype="130" unbalanced="0"/>
    <cacheHierarchy uniqueName="[Range].[müşteri]" caption="müşteri" attribute="1" defaultMemberUniqueName="[Range].[müşteri].[All]" allUniqueName="[Range].[müşteri].[All]" dimensionUniqueName="[Range]" displayFolder="" count="0" memberValueDatatype="130" unbalanced="0"/>
    <cacheHierarchy uniqueName="[Range].[toplam satışlar]" caption="toplam satışlar" attribute="1" defaultMemberUniqueName="[Range].[toplam satışlar].[All]" allUniqueName="[Range].[toplam satışlar].[All]" dimensionUniqueName="[Range]" displayFolder="" count="0" memberValueDatatype="5" unbalanced="0"/>
    <cacheHierarchy uniqueName="[Range].[müşteri tipi]" caption="müşteri tipi" attribute="1" defaultMemberUniqueName="[Range].[müşteri tipi].[All]" allUniqueName="[Range].[müşteri tipi].[All]" dimensionUniqueName="[Range]" displayFolder="" count="0" memberValueDatatype="130" unbalanced="0"/>
    <cacheHierarchy uniqueName="[Range].[satışlar oranı]" caption="satışlar oranı" attribute="1" defaultMemberUniqueName="[Range].[satışlar oranı].[All]" allUniqueName="[Range].[satışlar oranı].[All]" dimensionUniqueName="[Range]" displayFolder="" count="0" memberValueDatatype="5" unbalanced="0"/>
    <cacheHierarchy uniqueName="[Range].[bölge]" caption="bölge" attribute="1" defaultMemberUniqueName="[Range].[bölge].[All]" allUniqueName="[Range].[bölge].[All]" dimensionUniqueName="[Range]" displayFolder="" count="0" memberValueDatatype="130" unbalanced="0"/>
    <cacheHierarchy uniqueName="[AnaTablo].[tarih (Month Index)]" caption="tarih (Month Index)" attribute="1" defaultMemberUniqueName="[AnaTablo].[tarih (Month Index)].[All]" allUniqueName="[AnaTablo].[tarih (Month Index)].[All]" dimensionUniqueName="[AnaTablo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XL_Count AnaTablo]" caption="__XL_Count AnaTablo" measure="1" displayFolder="" measureGroup="AnaTablo" count="0" hidden="1"/>
    <cacheHierarchy uniqueName="[Measures].[__XL_Count İkiTablo]" caption="__XL_Count İkiTablo" measure="1" displayFolder="" measureGroup="İkiTablo" count="0" hidden="1"/>
    <cacheHierarchy uniqueName="[Measures].[__No measures defined]" caption="__No measures defined" measure="1" displayFolder="" count="0" hidden="1"/>
    <cacheHierarchy uniqueName="[Measures].[Sum of toplam satışlar]" caption="Sum of toplam satışlar" measure="1" displayFolder="" measureGroup="Range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um of satışlar oranı]" caption="Sum of satışlar oranı" measure="1" displayFolder="" measureGroup="Range" count="0" hidden="1"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bölge]" caption="Count of bölge" measure="1" displayFolder="" measureGroup="Range" count="0" hidden="1">
      <extLst>
        <ext xmlns:x15="http://schemas.microsoft.com/office/spreadsheetml/2010/11/main" uri="{B97F6D7D-B522-45F9-BDA1-12C45D357490}">
          <x15:cacheHierarchy aggregatedColumn="17"/>
        </ext>
      </extLst>
    </cacheHierarchy>
    <cacheHierarchy uniqueName="[Measures].[Sum of fatura]" caption="Sum of fatura" measure="1" displayFolder="" measureGroup="AnaTablo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vergi]" caption="Sum of vergi" measure="1" displayFolder="" measureGroup="AnaTab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net karı]" caption="Sum of net karı" measure="1" displayFolder="" measureGroup="AnaTablo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um of toplam satışlar 2]" caption="Sum of toplam satışlar 2" measure="1" displayFolder="" measureGroup="İkiTablo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um of satışlar oranı 2]" caption="Sum of satışlar oranı 2" measure="1" displayFolder="" measureGroup="İkiTablo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name="AnaTablo" uniqueName="[AnaTablo]" caption="AnaTablo"/>
    <dimension name="İkiTablo" uniqueName="[İkiTablo]" caption="İkiTablo"/>
    <dimension measure="1" name="Measures" uniqueName="[Measures]" caption="Measures"/>
    <dimension name="Range" uniqueName="[Range]" caption="Range"/>
  </dimensions>
  <measureGroups count="3">
    <measureGroup name="AnaTablo" caption="AnaTablo"/>
    <measureGroup name="İkiTablo" caption="İkiTablo"/>
    <measureGroup name="Range" caption="Range"/>
  </measureGroups>
  <maps count="3">
    <map measureGroup="0" dimension="0"/>
    <map measureGroup="1" dimension="1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">
  <r>
    <x v="0"/>
    <x v="0"/>
    <n v="5000"/>
    <n v="700.00000000000011"/>
    <n v="4300"/>
    <x v="0"/>
    <x v="0"/>
  </r>
  <r>
    <x v="1"/>
    <x v="0"/>
    <n v="2000"/>
    <n v="280"/>
    <n v="1720"/>
    <x v="1"/>
    <x v="1"/>
  </r>
  <r>
    <x v="2"/>
    <x v="0"/>
    <n v="1000"/>
    <n v="140"/>
    <n v="860"/>
    <x v="2"/>
    <x v="2"/>
  </r>
  <r>
    <x v="3"/>
    <x v="0"/>
    <n v="3000"/>
    <n v="420.00000000000006"/>
    <n v="2580"/>
    <x v="3"/>
    <x v="3"/>
  </r>
  <r>
    <x v="4"/>
    <x v="0"/>
    <n v="300"/>
    <n v="42.000000000000007"/>
    <n v="258"/>
    <x v="4"/>
    <x v="4"/>
  </r>
  <r>
    <x v="5"/>
    <x v="0"/>
    <n v="4000"/>
    <n v="560"/>
    <n v="3440"/>
    <x v="5"/>
    <x v="5"/>
  </r>
  <r>
    <x v="0"/>
    <x v="1"/>
    <n v="500"/>
    <n v="70"/>
    <n v="430"/>
    <x v="0"/>
    <x v="6"/>
  </r>
  <r>
    <x v="1"/>
    <x v="0"/>
    <n v="600"/>
    <n v="84.000000000000014"/>
    <n v="516"/>
    <x v="6"/>
    <x v="7"/>
  </r>
  <r>
    <x v="4"/>
    <x v="0"/>
    <n v="2000"/>
    <n v="280"/>
    <n v="1720"/>
    <x v="7"/>
    <x v="8"/>
  </r>
  <r>
    <x v="6"/>
    <x v="0"/>
    <n v="6000"/>
    <n v="840.00000000000011"/>
    <n v="5160"/>
    <x v="8"/>
    <x v="9"/>
  </r>
  <r>
    <x v="7"/>
    <x v="0"/>
    <n v="7000"/>
    <n v="980.00000000000011"/>
    <n v="6020"/>
    <x v="9"/>
    <x v="10"/>
  </r>
  <r>
    <x v="8"/>
    <x v="0"/>
    <n v="1500"/>
    <n v="210.00000000000003"/>
    <n v="1290"/>
    <x v="10"/>
    <x v="11"/>
  </r>
  <r>
    <x v="9"/>
    <x v="1"/>
    <n v="1000"/>
    <n v="140"/>
    <n v="860"/>
    <x v="11"/>
    <x v="12"/>
  </r>
  <r>
    <x v="6"/>
    <x v="2"/>
    <n v="500"/>
    <n v="70"/>
    <n v="430"/>
    <x v="12"/>
    <x v="13"/>
  </r>
  <r>
    <x v="10"/>
    <x v="2"/>
    <n v="400"/>
    <n v="56.000000000000007"/>
    <n v="344"/>
    <x v="13"/>
    <x v="14"/>
  </r>
  <r>
    <x v="11"/>
    <x v="1"/>
    <n v="2000"/>
    <n v="280"/>
    <n v="1720"/>
    <x v="14"/>
    <x v="15"/>
  </r>
  <r>
    <x v="0"/>
    <x v="1"/>
    <n v="2500"/>
    <n v="350.00000000000006"/>
    <n v="2150"/>
    <x v="15"/>
    <x v="16"/>
  </r>
  <r>
    <x v="12"/>
    <x v="2"/>
    <n v="300"/>
    <n v="42.000000000000007"/>
    <n v="258"/>
    <x v="16"/>
    <x v="17"/>
  </r>
  <r>
    <x v="10"/>
    <x v="2"/>
    <n v="660"/>
    <n v="92.4"/>
    <n v="567.6"/>
    <x v="17"/>
    <x v="18"/>
  </r>
  <r>
    <x v="13"/>
    <x v="2"/>
    <n v="550"/>
    <n v="77.000000000000014"/>
    <n v="473"/>
    <x v="18"/>
    <x v="19"/>
  </r>
  <r>
    <x v="14"/>
    <x v="1"/>
    <n v="800"/>
    <n v="112.00000000000001"/>
    <n v="688"/>
    <x v="19"/>
    <x v="20"/>
  </r>
  <r>
    <x v="3"/>
    <x v="1"/>
    <n v="900"/>
    <n v="126.00000000000001"/>
    <n v="774"/>
    <x v="20"/>
    <x v="21"/>
  </r>
  <r>
    <x v="9"/>
    <x v="1"/>
    <n v="1000"/>
    <n v="140"/>
    <n v="-860"/>
    <x v="21"/>
    <x v="22"/>
  </r>
  <r>
    <x v="4"/>
    <x v="2"/>
    <n v="450"/>
    <n v="63.000000000000007"/>
    <n v="-387"/>
    <x v="22"/>
    <x v="23"/>
  </r>
  <r>
    <x v="8"/>
    <x v="2"/>
    <n v="350"/>
    <n v="49.000000000000007"/>
    <n v="-301"/>
    <x v="11"/>
    <x v="24"/>
  </r>
  <r>
    <x v="1"/>
    <x v="0"/>
    <n v="2300"/>
    <n v="322.00000000000006"/>
    <n v="-1978"/>
    <x v="21"/>
    <x v="25"/>
  </r>
  <r>
    <x v="15"/>
    <x v="0"/>
    <n v="2400"/>
    <n v="336.00000000000006"/>
    <n v="-2064"/>
    <x v="21"/>
    <x v="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9110BBF-E779-4D9C-955A-B87F13B6E8B5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6:D88" firstHeaderRow="0" firstDataRow="1" firstDataCol="1"/>
  <pivotFields count="9">
    <pivotField axis="axisRow" showAll="0">
      <items count="17">
        <item x="0"/>
        <item x="14"/>
        <item x="4"/>
        <item x="9"/>
        <item x="13"/>
        <item x="2"/>
        <item x="6"/>
        <item x="15"/>
        <item x="5"/>
        <item x="11"/>
        <item x="3"/>
        <item x="10"/>
        <item x="1"/>
        <item x="8"/>
        <item x="7"/>
        <item x="12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numFmtId="2" showAll="0"/>
    <pivotField dataField="1" numFmtId="2" showAll="0"/>
    <pivotField dataField="1" numFmtId="44" showAll="0"/>
    <pivotField axis="axisRow" showAll="0">
      <items count="24">
        <item x="21"/>
        <item x="9"/>
        <item x="11"/>
        <item x="6"/>
        <item x="14"/>
        <item x="3"/>
        <item x="12"/>
        <item x="19"/>
        <item x="8"/>
        <item x="13"/>
        <item x="2"/>
        <item x="0"/>
        <item x="7"/>
        <item x="5"/>
        <item x="10"/>
        <item x="22"/>
        <item x="16"/>
        <item x="17"/>
        <item x="15"/>
        <item x="4"/>
        <item x="1"/>
        <item x="18"/>
        <item x="20"/>
        <item t="default"/>
      </items>
    </pivotField>
    <pivotField axis="axisRow" numFmtId="164" showAll="0">
      <items count="2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t="default"/>
      </items>
    </pivotField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6">
    <field x="0"/>
    <field x="1"/>
    <field x="8"/>
    <field x="7"/>
    <field x="5"/>
    <field x="6"/>
  </rowFields>
  <rowItems count="62">
    <i>
      <x/>
    </i>
    <i r="1">
      <x/>
    </i>
    <i r="2">
      <x v="5"/>
    </i>
    <i r="1">
      <x v="1"/>
    </i>
    <i r="2">
      <x v="5"/>
    </i>
    <i>
      <x v="1"/>
    </i>
    <i r="1">
      <x/>
    </i>
    <i r="2">
      <x v="6"/>
    </i>
    <i>
      <x v="2"/>
    </i>
    <i r="1">
      <x v="1"/>
    </i>
    <i r="2">
      <x v="5"/>
    </i>
    <i r="1">
      <x v="2"/>
    </i>
    <i r="2">
      <x v="6"/>
    </i>
    <i>
      <x v="3"/>
    </i>
    <i r="1">
      <x/>
    </i>
    <i r="2">
      <x v="5"/>
    </i>
    <i r="2">
      <x v="6"/>
    </i>
    <i>
      <x v="4"/>
    </i>
    <i r="1">
      <x v="2"/>
    </i>
    <i r="2">
      <x v="6"/>
    </i>
    <i>
      <x v="5"/>
    </i>
    <i r="1">
      <x v="1"/>
    </i>
    <i r="2">
      <x v="5"/>
    </i>
    <i>
      <x v="6"/>
    </i>
    <i r="1">
      <x v="1"/>
    </i>
    <i r="2">
      <x v="5"/>
    </i>
    <i r="1">
      <x v="2"/>
    </i>
    <i r="2">
      <x v="5"/>
    </i>
    <i>
      <x v="7"/>
    </i>
    <i r="1">
      <x v="1"/>
    </i>
    <i r="2">
      <x v="6"/>
    </i>
    <i>
      <x v="8"/>
    </i>
    <i r="1">
      <x v="1"/>
    </i>
    <i r="2">
      <x v="5"/>
    </i>
    <i>
      <x v="9"/>
    </i>
    <i r="1">
      <x/>
    </i>
    <i r="2">
      <x v="5"/>
    </i>
    <i>
      <x v="10"/>
    </i>
    <i r="1">
      <x/>
    </i>
    <i r="2">
      <x v="6"/>
    </i>
    <i r="1">
      <x v="1"/>
    </i>
    <i r="2">
      <x v="5"/>
    </i>
    <i>
      <x v="11"/>
    </i>
    <i r="1">
      <x v="2"/>
    </i>
    <i r="2">
      <x v="5"/>
    </i>
    <i r="2">
      <x v="6"/>
    </i>
    <i>
      <x v="12"/>
    </i>
    <i r="1">
      <x v="1"/>
    </i>
    <i r="2">
      <x v="5"/>
    </i>
    <i r="2">
      <x v="6"/>
    </i>
    <i>
      <x v="13"/>
    </i>
    <i r="1">
      <x v="1"/>
    </i>
    <i r="2">
      <x v="5"/>
    </i>
    <i r="1">
      <x v="2"/>
    </i>
    <i r="2">
      <x v="6"/>
    </i>
    <i>
      <x v="14"/>
    </i>
    <i r="1">
      <x v="1"/>
    </i>
    <i r="2">
      <x v="5"/>
    </i>
    <i>
      <x v="15"/>
    </i>
    <i r="1">
      <x v="2"/>
    </i>
    <i r="2"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fatura" fld="2" baseField="0" baseItem="0" numFmtId="2"/>
    <dataField name="Sum of vergi" fld="3" baseField="0" baseItem="0" numFmtId="2"/>
    <dataField name="Sum of net karı" fld="4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970613-F8B0-4331-8DF1-71F940F673AF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Y18" firstHeaderRow="1" firstDataRow="4" firstDataCol="1"/>
  <pivotFields count="5"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n="müşteri adi" x="1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3">
    <field x="-2"/>
    <field x="4"/>
    <field x="2"/>
  </colFields>
  <colItems count="24">
    <i>
      <x/>
      <x/>
      <x/>
    </i>
    <i r="1">
      <x v="1"/>
      <x v="1"/>
    </i>
    <i r="1">
      <x v="2"/>
      <x v="1"/>
    </i>
    <i r="1">
      <x v="3"/>
      <x/>
    </i>
    <i r="1">
      <x v="4"/>
      <x v="1"/>
    </i>
    <i r="1">
      <x v="5"/>
      <x v="1"/>
    </i>
    <i r="1">
      <x v="6"/>
      <x v="1"/>
    </i>
    <i r="1">
      <x v="7"/>
      <x/>
    </i>
    <i r="1">
      <x v="8"/>
      <x v="1"/>
    </i>
    <i r="1">
      <x v="9"/>
      <x v="1"/>
    </i>
    <i r="1">
      <x v="10"/>
      <x v="1"/>
    </i>
    <i i="1">
      <x v="1"/>
      <x/>
      <x/>
    </i>
    <i r="1" i="1">
      <x v="1"/>
      <x v="1"/>
    </i>
    <i r="1" i="1">
      <x v="2"/>
      <x v="1"/>
    </i>
    <i r="1" i="1">
      <x v="3"/>
      <x/>
    </i>
    <i r="1" i="1">
      <x v="4"/>
      <x v="1"/>
    </i>
    <i r="1" i="1">
      <x v="5"/>
      <x v="1"/>
    </i>
    <i r="1" i="1">
      <x v="6"/>
      <x v="1"/>
    </i>
    <i r="1" i="1">
      <x v="7"/>
      <x/>
    </i>
    <i r="1" i="1">
      <x v="8"/>
      <x v="1"/>
    </i>
    <i r="1" i="1">
      <x v="9"/>
      <x v="1"/>
    </i>
    <i r="1" i="1">
      <x v="10"/>
      <x v="1"/>
    </i>
    <i t="grand">
      <x/>
    </i>
    <i t="grand" i="1">
      <x v="1"/>
    </i>
  </colItems>
  <dataFields count="2">
    <dataField name="toplam satışlar" fld="1" baseField="4" baseItem="0" numFmtId="2"/>
    <dataField name=" satışlar oranı" fld="3" baseField="4" baseItem="0" numFmtId="10"/>
  </dataFields>
  <formats count="23">
    <format dxfId="51">
      <pivotArea collapsedLevelsAreSubtotals="1" fieldPosition="0">
        <references count="2">
          <reference field="4294967294" count="1" selected="0">
            <x v="1"/>
          </reference>
          <reference field="0" count="1">
            <x v="1"/>
          </reference>
        </references>
      </pivotArea>
    </format>
    <format dxfId="5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"/>
          </reference>
          <reference field="2" count="1">
            <x v="1"/>
          </reference>
        </references>
      </pivotArea>
    </format>
    <format dxfId="49">
      <pivotArea collapsedLevelsAreSubtotals="1" fieldPosition="0">
        <references count="2">
          <reference field="4294967294" count="1" selected="0">
            <x v="1"/>
          </reference>
          <reference field="0" count="1">
            <x v="2"/>
          </reference>
        </references>
      </pivotArea>
    </format>
    <format dxfId="4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2" count="1">
            <x v="1"/>
          </reference>
        </references>
      </pivotArea>
    </format>
    <format dxfId="47">
      <pivotArea collapsedLevelsAreSubtotals="1" fieldPosition="0">
        <references count="2">
          <reference field="4294967294" count="1" selected="0">
            <x v="1"/>
          </reference>
          <reference field="0" count="1">
            <x v="3"/>
          </reference>
        </references>
      </pivotArea>
    </format>
    <format dxfId="4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2" count="1">
            <x v="1"/>
          </reference>
        </references>
      </pivotArea>
    </format>
    <format dxfId="45">
      <pivotArea collapsedLevelsAreSubtotals="1" fieldPosition="0">
        <references count="2">
          <reference field="4294967294" count="1" selected="0">
            <x v="1"/>
          </reference>
          <reference field="0" count="1">
            <x v="4"/>
          </reference>
        </references>
      </pivotArea>
    </format>
    <format dxfId="4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4"/>
          </reference>
          <reference field="2" count="1">
            <x v="0"/>
          </reference>
        </references>
      </pivotArea>
    </format>
    <format dxfId="43">
      <pivotArea collapsedLevelsAreSubtotals="1" fieldPosition="0">
        <references count="2">
          <reference field="4294967294" count="1" selected="0">
            <x v="1"/>
          </reference>
          <reference field="0" count="1">
            <x v="5"/>
          </reference>
        </references>
      </pivotArea>
    </format>
    <format dxfId="4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5"/>
          </reference>
          <reference field="2" count="1">
            <x v="0"/>
          </reference>
        </references>
      </pivotArea>
    </format>
    <format dxfId="41">
      <pivotArea collapsedLevelsAreSubtotals="1" fieldPosition="0">
        <references count="2">
          <reference field="4294967294" count="1" selected="0">
            <x v="1"/>
          </reference>
          <reference field="0" count="1">
            <x v="6"/>
          </reference>
        </references>
      </pivotArea>
    </format>
    <format dxfId="4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6"/>
          </reference>
          <reference field="2" count="1">
            <x v="1"/>
          </reference>
        </references>
      </pivotArea>
    </format>
    <format dxfId="39">
      <pivotArea collapsedLevelsAreSubtotals="1" fieldPosition="0">
        <references count="2">
          <reference field="4294967294" count="1" selected="0">
            <x v="1"/>
          </reference>
          <reference field="0" count="1">
            <x v="7"/>
          </reference>
        </references>
      </pivotArea>
    </format>
    <format dxfId="38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7"/>
          </reference>
          <reference field="2" count="1">
            <x v="1"/>
          </reference>
        </references>
      </pivotArea>
    </format>
    <format dxfId="37">
      <pivotArea collapsedLevelsAreSubtotals="1" fieldPosition="0">
        <references count="2">
          <reference field="4294967294" count="1" selected="0">
            <x v="1"/>
          </reference>
          <reference field="0" count="1">
            <x v="8"/>
          </reference>
        </references>
      </pivotArea>
    </format>
    <format dxfId="36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8"/>
          </reference>
          <reference field="2" count="1">
            <x v="1"/>
          </reference>
        </references>
      </pivotArea>
    </format>
    <format dxfId="35">
      <pivotArea collapsedLevelsAreSubtotals="1" fieldPosition="0">
        <references count="2">
          <reference field="4294967294" count="1" selected="0">
            <x v="1"/>
          </reference>
          <reference field="0" count="1">
            <x v="9"/>
          </reference>
        </references>
      </pivotArea>
    </format>
    <format dxfId="3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9"/>
          </reference>
          <reference field="2" count="1">
            <x v="1"/>
          </reference>
        </references>
      </pivotArea>
    </format>
    <format dxfId="33">
      <pivotArea collapsedLevelsAreSubtotals="1" fieldPosition="0">
        <references count="2">
          <reference field="4294967294" count="1" selected="0">
            <x v="1"/>
          </reference>
          <reference field="0" count="1">
            <x v="10"/>
          </reference>
        </references>
      </pivotArea>
    </format>
    <format dxfId="3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10"/>
          </reference>
          <reference field="2" count="1">
            <x v="0"/>
          </reference>
        </references>
      </pivotArea>
    </format>
    <format dxfId="31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30">
      <pivotArea outline="0" fieldPosition="0">
        <references count="1">
          <reference field="4294967294" count="1">
            <x v="0"/>
          </reference>
        </references>
      </pivotArea>
    </format>
    <format dxfId="29">
      <pivotArea outline="0" fieldPosition="0">
        <references count="1">
          <reference field="4294967294" count="1">
            <x v="1"/>
          </reference>
        </references>
      </pivotArea>
    </format>
  </format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toplam satışlar"/>
    <pivotHierarchy dragToData="1" caption=" satışlar oranı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3"/>
  </rowHierarchiesUsage>
  <colHierarchiesUsage count="3">
    <colHierarchyUsage hierarchyUsage="-2"/>
    <colHierarchyUsage hierarchyUsage="17"/>
    <colHierarchyUsage hierarchyUsage="1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ayfa1!$P$8:$T$24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2C27A-CB5E-40C1-8B08-A3F1430CEE3C}" name="İkiTablo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4:C108" firstHeaderRow="0" firstDataRow="1" firstDataCol="1"/>
  <pivotFields count="5"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3">
    <field x="0"/>
    <field x="2"/>
    <field x="4"/>
  </rowFields>
  <rowItems count="34">
    <i>
      <x/>
    </i>
    <i r="1">
      <x/>
    </i>
    <i r="2">
      <x/>
    </i>
    <i>
      <x v="1"/>
    </i>
    <i r="1">
      <x/>
    </i>
    <i r="2">
      <x v="1"/>
    </i>
    <i>
      <x v="2"/>
    </i>
    <i r="1">
      <x/>
    </i>
    <i r="2">
      <x v="2"/>
    </i>
    <i>
      <x v="3"/>
    </i>
    <i r="1">
      <x/>
    </i>
    <i r="2">
      <x v="3"/>
    </i>
    <i>
      <x v="4"/>
    </i>
    <i r="1">
      <x v="1"/>
    </i>
    <i r="2">
      <x v="4"/>
    </i>
    <i>
      <x v="5"/>
    </i>
    <i r="1">
      <x v="1"/>
    </i>
    <i r="2">
      <x v="5"/>
    </i>
    <i>
      <x v="6"/>
    </i>
    <i r="1">
      <x/>
    </i>
    <i r="2">
      <x v="6"/>
    </i>
    <i>
      <x v="7"/>
    </i>
    <i r="1">
      <x/>
    </i>
    <i r="2">
      <x v="7"/>
    </i>
    <i>
      <x v="8"/>
    </i>
    <i r="1">
      <x/>
    </i>
    <i r="2">
      <x v="8"/>
    </i>
    <i>
      <x v="9"/>
    </i>
    <i r="1">
      <x/>
    </i>
    <i r="2">
      <x v="9"/>
    </i>
    <i>
      <x v="10"/>
    </i>
    <i r="1">
      <x v="1"/>
    </i>
    <i r="2"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plam satışlar" fld="1" baseField="0" baseItem="0"/>
    <dataField name="Sum of satışlar oranı" fld="3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8"/>
    <rowHierarchyUsage hierarchyUsage="10"/>
    <rowHierarchyUsage hierarchyUsage="1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asal 2.xlsx!İkiTablo">
        <x15:activeTabTopLevelEntity name="[İkiTab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F5C45-D7FD-4128-A40A-CD068A739576}" name="AnaTablo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A3:D28" firstHeaderRow="0" firstDataRow="1" firstDataCol="1"/>
  <pivotFields count="5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</items>
    </pivotField>
  </pivotFields>
  <rowFields count="2">
    <field x="3"/>
    <field x="4"/>
  </rowFields>
  <rowItems count="25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5"/>
    </i>
    <i r="1">
      <x v="6"/>
    </i>
    <i r="1">
      <x v="7"/>
    </i>
    <i r="1">
      <x v="8"/>
    </i>
    <i r="1">
      <x v="9"/>
    </i>
    <i r="1">
      <x v="4"/>
    </i>
    <i r="1">
      <x v="10"/>
    </i>
    <i r="1">
      <x v="11"/>
    </i>
    <i r="1">
      <x v="12"/>
    </i>
    <i>
      <x v="2"/>
    </i>
    <i r="1">
      <x v="5"/>
    </i>
    <i r="1">
      <x v="13"/>
    </i>
    <i r="1">
      <x v="7"/>
    </i>
    <i r="1">
      <x v="14"/>
    </i>
    <i r="1">
      <x v="11"/>
    </i>
    <i r="1">
      <x v="1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et karı" fld="0" baseField="0" baseItem="0"/>
    <dataField name="Sum of vergi" fld="1" baseField="0" baseItem="0"/>
    <dataField name="Sum of fatura" fld="2" baseField="0" baseItem="0"/>
  </dataFields>
  <pivotHierarchies count="31"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Alasal 2.xlsx!AnaTablo">
        <x15:activeTabTopLevelEntity name="[AnaTablo]"/>
        <x15:activeTabTopLevelEntity name="[İkiTablo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D8406B-AB84-4968-8E4D-7D09165BB800}" name="AnaTablo" displayName="AnaTablo" ref="G8:M36" totalsRowCount="1" headerRowDxfId="28" headerRowBorderDxfId="27" tableBorderDxfId="26" totalsRowBorderDxfId="25">
  <autoFilter ref="G8:M35" xr:uid="{68D8406B-AB84-4968-8E4D-7D09165BB800}"/>
  <tableColumns count="7">
    <tableColumn id="1" xr3:uid="{56FF48B4-DEC0-43E8-AD0F-3B1759418F53}" name="müşteri adi" totalsRowLabel="Total" dataDxfId="24" totalsRowDxfId="6"/>
    <tableColumn id="2" xr3:uid="{E19B2CE2-345E-4C38-B767-D0726B04AE27}" name="açıklama" dataDxfId="23" totalsRowDxfId="5"/>
    <tableColumn id="3" xr3:uid="{DB7BF754-9D88-42C0-A019-88978EE2FFED}" name="fatura" dataDxfId="22" totalsRowDxfId="4"/>
    <tableColumn id="4" xr3:uid="{885ED46A-8941-4D15-BD4E-983ECFBC6333}" name="vergi" dataDxfId="21" totalsRowDxfId="3">
      <calculatedColumnFormula>I9*0.14</calculatedColumnFormula>
    </tableColumn>
    <tableColumn id="5" xr3:uid="{2BCEC7A8-E33C-40DF-88DF-835B8855F44A}" name="net karı" dataDxfId="20" totalsRowDxfId="2">
      <calculatedColumnFormula>-(I9-J9)</calculatedColumnFormula>
    </tableColumn>
    <tableColumn id="6" xr3:uid="{07F89695-C192-42FB-8DA5-33330A7B57C1}" name="bölge" dataDxfId="19" totalsRowDxfId="1"/>
    <tableColumn id="7" xr3:uid="{2384554E-F298-47E6-B184-DCFF7C290F3A}" name="tarih" totalsRowFunction="count" dataDxfId="18" totalsRowDxfId="0" dataCellStyle="Currency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88AF2B-D177-49E7-97BA-43149CDF8BA2}" name="İkiTablo" displayName="İkiTablo" ref="P8:T24" totalsRowShown="0" headerRowDxfId="17" tableBorderDxfId="16">
  <autoFilter ref="P8:T24" xr:uid="{E488AF2B-D177-49E7-97BA-43149CDF8BA2}"/>
  <tableColumns count="5">
    <tableColumn id="1" xr3:uid="{5D6CDFF8-5108-4772-92B6-0C419FC65481}" name="müşteri adi" dataDxfId="15"/>
    <tableColumn id="2" xr3:uid="{3F2545C9-D013-46D4-B602-6DBBA6E19877}" name="toplam satışlar" dataDxfId="14"/>
    <tableColumn id="3" xr3:uid="{F2EC47FF-C0DD-484D-9C56-806CF954D40A}" name="müşteri tipi" dataDxfId="13"/>
    <tableColumn id="4" xr3:uid="{382791B4-0F89-4B05-B7D7-3204E298B4E2}" name="satışlar oranı" dataDxfId="12"/>
    <tableColumn id="5" xr3:uid="{058EEAD8-47D6-47C1-BD3E-736C922751D4}" name="bölge" dataDxfId="1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E5CF9-7907-40E7-B78B-EE46715B843B}">
  <dimension ref="A3:Y88"/>
  <sheetViews>
    <sheetView rightToLeft="1" topLeftCell="A25" zoomScale="102" zoomScaleNormal="102" workbookViewId="0">
      <selection activeCell="D42" sqref="D42"/>
    </sheetView>
  </sheetViews>
  <sheetFormatPr defaultRowHeight="14.4" x14ac:dyDescent="0.3"/>
  <cols>
    <col min="1" max="1" width="12.77734375" bestFit="1" customWidth="1"/>
    <col min="2" max="2" width="11.88671875" bestFit="1" customWidth="1"/>
    <col min="3" max="3" width="11" bestFit="1" customWidth="1"/>
    <col min="4" max="4" width="13.33203125" bestFit="1" customWidth="1"/>
    <col min="5" max="5" width="15.6640625" bestFit="1" customWidth="1"/>
    <col min="6" max="8" width="16.44140625" bestFit="1" customWidth="1"/>
    <col min="9" max="9" width="15" bestFit="1" customWidth="1"/>
    <col min="10" max="12" width="16.44140625" bestFit="1" customWidth="1"/>
    <col min="13" max="13" width="15" bestFit="1" customWidth="1"/>
    <col min="14" max="15" width="16.44140625" bestFit="1" customWidth="1"/>
    <col min="16" max="16" width="15.6640625" bestFit="1" customWidth="1"/>
    <col min="17" max="19" width="16.44140625" bestFit="1" customWidth="1"/>
    <col min="20" max="20" width="15" bestFit="1" customWidth="1"/>
    <col min="21" max="23" width="16.44140625" bestFit="1" customWidth="1"/>
    <col min="24" max="24" width="18.21875" bestFit="1" customWidth="1"/>
    <col min="25" max="25" width="16.6640625" bestFit="1" customWidth="1"/>
  </cols>
  <sheetData>
    <row r="3" spans="1:25" x14ac:dyDescent="0.3">
      <c r="B3" s="21" t="s">
        <v>53</v>
      </c>
    </row>
    <row r="4" spans="1:25" x14ac:dyDescent="0.3">
      <c r="B4" t="s">
        <v>45</v>
      </c>
      <c r="M4" t="s">
        <v>52</v>
      </c>
      <c r="X4" t="s">
        <v>54</v>
      </c>
      <c r="Y4" t="s">
        <v>55</v>
      </c>
    </row>
    <row r="5" spans="1:25" x14ac:dyDescent="0.3">
      <c r="B5" t="s">
        <v>31</v>
      </c>
      <c r="C5" t="s">
        <v>33</v>
      </c>
      <c r="D5" t="s">
        <v>27</v>
      </c>
      <c r="E5" t="s">
        <v>30</v>
      </c>
      <c r="F5" t="s">
        <v>34</v>
      </c>
      <c r="G5" t="s">
        <v>26</v>
      </c>
      <c r="H5" t="s">
        <v>6</v>
      </c>
      <c r="I5" t="s">
        <v>29</v>
      </c>
      <c r="J5" t="s">
        <v>32</v>
      </c>
      <c r="K5" t="s">
        <v>28</v>
      </c>
      <c r="L5" t="s">
        <v>25</v>
      </c>
      <c r="M5" t="s">
        <v>31</v>
      </c>
      <c r="N5" t="s">
        <v>33</v>
      </c>
      <c r="O5" t="s">
        <v>27</v>
      </c>
      <c r="P5" t="s">
        <v>30</v>
      </c>
      <c r="Q5" t="s">
        <v>34</v>
      </c>
      <c r="R5" t="s">
        <v>26</v>
      </c>
      <c r="S5" t="s">
        <v>6</v>
      </c>
      <c r="T5" t="s">
        <v>29</v>
      </c>
      <c r="U5" t="s">
        <v>32</v>
      </c>
      <c r="V5" t="s">
        <v>28</v>
      </c>
      <c r="W5" t="s">
        <v>25</v>
      </c>
    </row>
    <row r="6" spans="1:25" x14ac:dyDescent="0.3">
      <c r="A6" s="21" t="s">
        <v>48</v>
      </c>
      <c r="B6" t="s">
        <v>51</v>
      </c>
      <c r="C6" t="s">
        <v>50</v>
      </c>
      <c r="D6" t="s">
        <v>50</v>
      </c>
      <c r="E6" t="s">
        <v>51</v>
      </c>
      <c r="F6" t="s">
        <v>50</v>
      </c>
      <c r="G6" t="s">
        <v>50</v>
      </c>
      <c r="H6" t="s">
        <v>50</v>
      </c>
      <c r="I6" t="s">
        <v>51</v>
      </c>
      <c r="J6" t="s">
        <v>50</v>
      </c>
      <c r="K6" t="s">
        <v>50</v>
      </c>
      <c r="L6" t="s">
        <v>50</v>
      </c>
      <c r="M6" t="s">
        <v>51</v>
      </c>
      <c r="N6" t="s">
        <v>50</v>
      </c>
      <c r="O6" t="s">
        <v>50</v>
      </c>
      <c r="P6" t="s">
        <v>51</v>
      </c>
      <c r="Q6" t="s">
        <v>50</v>
      </c>
      <c r="R6" t="s">
        <v>50</v>
      </c>
      <c r="S6" t="s">
        <v>50</v>
      </c>
      <c r="T6" t="s">
        <v>51</v>
      </c>
      <c r="U6" t="s">
        <v>50</v>
      </c>
      <c r="V6" t="s">
        <v>50</v>
      </c>
      <c r="W6" t="s">
        <v>50</v>
      </c>
    </row>
    <row r="7" spans="1:25" x14ac:dyDescent="0.3">
      <c r="A7" s="24" t="s">
        <v>7</v>
      </c>
      <c r="B7" s="3"/>
      <c r="C7" s="3"/>
      <c r="D7" s="3"/>
      <c r="E7" s="3"/>
      <c r="F7" s="3"/>
      <c r="G7" s="3"/>
      <c r="H7" s="3">
        <v>1720</v>
      </c>
      <c r="I7" s="3"/>
      <c r="J7" s="3"/>
      <c r="K7" s="3"/>
      <c r="L7" s="3"/>
      <c r="M7" s="23"/>
      <c r="N7" s="23"/>
      <c r="O7" s="23"/>
      <c r="P7" s="23"/>
      <c r="Q7" s="23"/>
      <c r="R7" s="23"/>
      <c r="S7" s="23">
        <v>7.8616352201257858E-2</v>
      </c>
      <c r="T7" s="23"/>
      <c r="U7" s="23"/>
      <c r="V7" s="23"/>
      <c r="W7" s="23"/>
      <c r="X7" s="3">
        <v>1720</v>
      </c>
      <c r="Y7" s="23">
        <v>7.8616352201257858E-2</v>
      </c>
    </row>
    <row r="8" spans="1:25" x14ac:dyDescent="0.3">
      <c r="A8" s="24" t="s">
        <v>11</v>
      </c>
      <c r="B8" s="3"/>
      <c r="C8" s="3"/>
      <c r="D8" s="3"/>
      <c r="E8" s="3"/>
      <c r="F8" s="3"/>
      <c r="G8" s="3"/>
      <c r="H8" s="3"/>
      <c r="I8" s="3"/>
      <c r="J8" s="3"/>
      <c r="K8" s="3">
        <v>2365</v>
      </c>
      <c r="L8" s="3"/>
      <c r="M8" s="23"/>
      <c r="N8" s="23"/>
      <c r="O8" s="23"/>
      <c r="P8" s="23"/>
      <c r="Q8" s="23"/>
      <c r="R8" s="23"/>
      <c r="S8" s="23"/>
      <c r="T8" s="23"/>
      <c r="U8" s="23"/>
      <c r="V8" s="23">
        <v>0.1372255489021956</v>
      </c>
      <c r="W8" s="23"/>
      <c r="X8" s="3">
        <v>2365</v>
      </c>
      <c r="Y8" s="23">
        <v>0.1372255489021956</v>
      </c>
    </row>
    <row r="9" spans="1:25" x14ac:dyDescent="0.3">
      <c r="A9" s="24" t="s">
        <v>16</v>
      </c>
      <c r="B9" s="3"/>
      <c r="C9" s="3">
        <v>0</v>
      </c>
      <c r="D9" s="3"/>
      <c r="E9" s="3"/>
      <c r="F9" s="3"/>
      <c r="G9" s="3"/>
      <c r="H9" s="3"/>
      <c r="I9" s="3"/>
      <c r="J9" s="3"/>
      <c r="K9" s="3"/>
      <c r="L9" s="3"/>
      <c r="M9" s="23"/>
      <c r="N9" s="23">
        <v>0</v>
      </c>
      <c r="O9" s="23"/>
      <c r="P9" s="23"/>
      <c r="Q9" s="23"/>
      <c r="R9" s="23"/>
      <c r="S9" s="23"/>
      <c r="T9" s="23"/>
      <c r="U9" s="23"/>
      <c r="V9" s="23"/>
      <c r="W9" s="23"/>
      <c r="X9" s="3">
        <v>0</v>
      </c>
      <c r="Y9" s="23">
        <v>0</v>
      </c>
    </row>
    <row r="10" spans="1:25" x14ac:dyDescent="0.3">
      <c r="A10" s="24" t="s">
        <v>9</v>
      </c>
      <c r="B10" s="3"/>
      <c r="C10" s="3"/>
      <c r="D10" s="3"/>
      <c r="E10" s="3"/>
      <c r="F10" s="3"/>
      <c r="G10" s="3">
        <v>860</v>
      </c>
      <c r="H10" s="3"/>
      <c r="I10" s="3"/>
      <c r="J10" s="3"/>
      <c r="K10" s="3"/>
      <c r="L10" s="3"/>
      <c r="M10" s="23"/>
      <c r="N10" s="23"/>
      <c r="O10" s="23"/>
      <c r="P10" s="23"/>
      <c r="Q10" s="23"/>
      <c r="R10" s="23">
        <v>4.3215211754537596E-2</v>
      </c>
      <c r="S10" s="23"/>
      <c r="T10" s="23"/>
      <c r="U10" s="23"/>
      <c r="V10" s="23"/>
      <c r="W10" s="23"/>
      <c r="X10" s="3">
        <v>860</v>
      </c>
      <c r="Y10" s="23">
        <v>4.3215211754537596E-2</v>
      </c>
    </row>
    <row r="11" spans="1:25" x14ac:dyDescent="0.3">
      <c r="A11" s="24" t="s">
        <v>13</v>
      </c>
      <c r="B11" s="3"/>
      <c r="C11" s="3"/>
      <c r="D11" s="3"/>
      <c r="E11" s="3">
        <v>4730</v>
      </c>
      <c r="F11" s="3"/>
      <c r="G11" s="3"/>
      <c r="H11" s="3"/>
      <c r="I11" s="3"/>
      <c r="J11" s="3"/>
      <c r="K11" s="3"/>
      <c r="L11" s="3"/>
      <c r="M11" s="23"/>
      <c r="N11" s="23"/>
      <c r="O11" s="23"/>
      <c r="P11" s="23">
        <v>0.41384499623777277</v>
      </c>
      <c r="Q11" s="23"/>
      <c r="R11" s="23"/>
      <c r="S11" s="23"/>
      <c r="T11" s="23"/>
      <c r="U11" s="23"/>
      <c r="V11" s="23"/>
      <c r="W11" s="23"/>
      <c r="X11" s="3">
        <v>4730</v>
      </c>
      <c r="Y11" s="23">
        <v>0.41384499623777277</v>
      </c>
    </row>
    <row r="12" spans="1:25" x14ac:dyDescent="0.3">
      <c r="A12" s="24" t="s">
        <v>12</v>
      </c>
      <c r="B12" s="3"/>
      <c r="C12" s="3"/>
      <c r="D12" s="3"/>
      <c r="E12" s="3"/>
      <c r="F12" s="3"/>
      <c r="G12" s="3"/>
      <c r="H12" s="3"/>
      <c r="I12" s="3">
        <v>3440</v>
      </c>
      <c r="J12" s="3"/>
      <c r="K12" s="3"/>
      <c r="L12" s="3"/>
      <c r="M12" s="23"/>
      <c r="N12" s="23"/>
      <c r="O12" s="23"/>
      <c r="P12" s="23"/>
      <c r="Q12" s="23"/>
      <c r="R12" s="23"/>
      <c r="S12" s="23"/>
      <c r="T12" s="23">
        <v>0.23134759976865241</v>
      </c>
      <c r="U12" s="23"/>
      <c r="V12" s="23"/>
      <c r="W12" s="23"/>
      <c r="X12" s="3">
        <v>3440</v>
      </c>
      <c r="Y12" s="23">
        <v>0.23134759976865241</v>
      </c>
    </row>
    <row r="13" spans="1:25" x14ac:dyDescent="0.3">
      <c r="A13" s="24" t="s">
        <v>10</v>
      </c>
      <c r="B13" s="3"/>
      <c r="C13" s="3"/>
      <c r="D13" s="3">
        <v>1806</v>
      </c>
      <c r="E13" s="3"/>
      <c r="F13" s="3"/>
      <c r="G13" s="3"/>
      <c r="H13" s="3"/>
      <c r="I13" s="3"/>
      <c r="J13" s="3"/>
      <c r="K13" s="3"/>
      <c r="L13" s="3"/>
      <c r="M13" s="23"/>
      <c r="N13" s="23"/>
      <c r="O13" s="23">
        <v>9.4850948509485083E-2</v>
      </c>
      <c r="P13" s="23"/>
      <c r="Q13" s="23"/>
      <c r="R13" s="23"/>
      <c r="S13" s="23"/>
      <c r="T13" s="23"/>
      <c r="U13" s="23"/>
      <c r="V13" s="23"/>
      <c r="W13" s="23"/>
      <c r="X13" s="3">
        <v>1806</v>
      </c>
      <c r="Y13" s="23">
        <v>9.4850948509485083E-2</v>
      </c>
    </row>
    <row r="14" spans="1:25" x14ac:dyDescent="0.3">
      <c r="A14" s="24" t="s">
        <v>17</v>
      </c>
      <c r="B14" s="3"/>
      <c r="C14" s="3"/>
      <c r="D14" s="3"/>
      <c r="E14" s="3"/>
      <c r="F14" s="3">
        <v>-911.6</v>
      </c>
      <c r="G14" s="3"/>
      <c r="H14" s="3"/>
      <c r="I14" s="3"/>
      <c r="J14" s="3"/>
      <c r="K14" s="3"/>
      <c r="L14" s="3"/>
      <c r="M14" s="23"/>
      <c r="N14" s="23"/>
      <c r="O14" s="23"/>
      <c r="P14" s="23"/>
      <c r="Q14" s="23">
        <v>1</v>
      </c>
      <c r="R14" s="23"/>
      <c r="S14" s="23"/>
      <c r="T14" s="23"/>
      <c r="U14" s="23"/>
      <c r="V14" s="23"/>
      <c r="W14" s="23"/>
      <c r="X14" s="3">
        <v>-911.6</v>
      </c>
      <c r="Y14" s="23">
        <v>1</v>
      </c>
    </row>
    <row r="15" spans="1:25" x14ac:dyDescent="0.3">
      <c r="A15" s="24" t="s">
        <v>8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>
        <v>258</v>
      </c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1.2798634812286689E-2</v>
      </c>
      <c r="X15" s="3">
        <v>258</v>
      </c>
      <c r="Y15" s="23">
        <v>1.2798634812286689E-2</v>
      </c>
    </row>
    <row r="16" spans="1:25" x14ac:dyDescent="0.3">
      <c r="A16" s="24" t="s">
        <v>15</v>
      </c>
      <c r="B16" s="3"/>
      <c r="C16" s="3"/>
      <c r="D16" s="3"/>
      <c r="E16" s="3"/>
      <c r="F16" s="3"/>
      <c r="G16" s="3"/>
      <c r="H16" s="3"/>
      <c r="I16" s="3"/>
      <c r="J16" s="3">
        <v>1591</v>
      </c>
      <c r="K16" s="3"/>
      <c r="L16" s="3"/>
      <c r="M16" s="23"/>
      <c r="N16" s="23"/>
      <c r="O16" s="23"/>
      <c r="P16" s="23"/>
      <c r="Q16" s="23"/>
      <c r="R16" s="23"/>
      <c r="S16" s="23"/>
      <c r="T16" s="23"/>
      <c r="U16" s="23">
        <v>2.3417721518987342</v>
      </c>
      <c r="V16" s="23"/>
      <c r="W16" s="23"/>
      <c r="X16" s="3">
        <v>1591</v>
      </c>
      <c r="Y16" s="23">
        <v>2.3417721518987342</v>
      </c>
    </row>
    <row r="17" spans="1:25" x14ac:dyDescent="0.3">
      <c r="A17" s="24" t="s">
        <v>14</v>
      </c>
      <c r="B17" s="3">
        <v>6020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23">
        <v>0.89858793324775355</v>
      </c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3">
        <v>6020</v>
      </c>
      <c r="Y17" s="23">
        <v>0.89858793324775355</v>
      </c>
    </row>
    <row r="18" spans="1:25" x14ac:dyDescent="0.3">
      <c r="A18" s="22" t="s">
        <v>49</v>
      </c>
      <c r="B18" s="3">
        <v>6020</v>
      </c>
      <c r="C18" s="3">
        <v>0</v>
      </c>
      <c r="D18" s="3">
        <v>1806</v>
      </c>
      <c r="E18" s="3">
        <v>4730</v>
      </c>
      <c r="F18" s="3">
        <v>-911.6</v>
      </c>
      <c r="G18" s="3">
        <v>860</v>
      </c>
      <c r="H18" s="3">
        <v>1720</v>
      </c>
      <c r="I18" s="3">
        <v>3440</v>
      </c>
      <c r="J18" s="3">
        <v>1591</v>
      </c>
      <c r="K18" s="3">
        <v>2365</v>
      </c>
      <c r="L18" s="3">
        <v>258</v>
      </c>
      <c r="M18" s="23">
        <v>0.89858793324775355</v>
      </c>
      <c r="N18" s="23">
        <v>0</v>
      </c>
      <c r="O18" s="23">
        <v>9.4850948509485083E-2</v>
      </c>
      <c r="P18" s="23">
        <v>0.41384499623777277</v>
      </c>
      <c r="Q18" s="23">
        <v>1</v>
      </c>
      <c r="R18" s="23">
        <v>4.3215211754537596E-2</v>
      </c>
      <c r="S18" s="23">
        <v>7.8616352201257858E-2</v>
      </c>
      <c r="T18" s="23">
        <v>0.23134759976865241</v>
      </c>
      <c r="U18" s="23">
        <v>2.3417721518987342</v>
      </c>
      <c r="V18" s="23">
        <v>0.1372255489021956</v>
      </c>
      <c r="W18" s="23">
        <v>1.2798634812286689E-2</v>
      </c>
      <c r="X18" s="3">
        <v>21878.400000000001</v>
      </c>
      <c r="Y18" s="23">
        <v>5.2522593773326758</v>
      </c>
    </row>
    <row r="26" spans="1:25" x14ac:dyDescent="0.3">
      <c r="A26" s="21" t="s">
        <v>48</v>
      </c>
      <c r="B26" t="s">
        <v>58</v>
      </c>
      <c r="C26" t="s">
        <v>59</v>
      </c>
      <c r="D26" t="s">
        <v>60</v>
      </c>
    </row>
    <row r="27" spans="1:25" x14ac:dyDescent="0.3">
      <c r="A27" s="24" t="s">
        <v>7</v>
      </c>
      <c r="B27" s="3">
        <v>8000</v>
      </c>
      <c r="C27" s="3">
        <v>1120.0000000000002</v>
      </c>
      <c r="D27" s="26">
        <v>6880</v>
      </c>
    </row>
    <row r="28" spans="1:25" x14ac:dyDescent="0.3">
      <c r="A28" s="25" t="s">
        <v>42</v>
      </c>
      <c r="B28" s="3">
        <v>3000</v>
      </c>
      <c r="C28" s="3">
        <v>420.00000000000006</v>
      </c>
      <c r="D28" s="26">
        <v>2580</v>
      </c>
    </row>
    <row r="29" spans="1:25" x14ac:dyDescent="0.3">
      <c r="A29" s="27" t="s">
        <v>56</v>
      </c>
      <c r="B29" s="3">
        <v>3000</v>
      </c>
      <c r="C29" s="3">
        <v>420.00000000000006</v>
      </c>
      <c r="D29" s="26">
        <v>2580</v>
      </c>
    </row>
    <row r="30" spans="1:25" x14ac:dyDescent="0.3">
      <c r="A30" s="25" t="s">
        <v>5</v>
      </c>
      <c r="B30" s="3">
        <v>5000</v>
      </c>
      <c r="C30" s="3">
        <v>700.00000000000011</v>
      </c>
      <c r="D30" s="26">
        <v>4300</v>
      </c>
    </row>
    <row r="31" spans="1:25" x14ac:dyDescent="0.3">
      <c r="A31" s="27" t="s">
        <v>56</v>
      </c>
      <c r="B31" s="3">
        <v>5000</v>
      </c>
      <c r="C31" s="3">
        <v>700.00000000000011</v>
      </c>
      <c r="D31" s="26">
        <v>4300</v>
      </c>
    </row>
    <row r="32" spans="1:25" x14ac:dyDescent="0.3">
      <c r="A32" s="24" t="s">
        <v>21</v>
      </c>
      <c r="B32" s="3">
        <v>800</v>
      </c>
      <c r="C32" s="3">
        <v>112.00000000000001</v>
      </c>
      <c r="D32" s="26">
        <v>688</v>
      </c>
    </row>
    <row r="33" spans="1:4" x14ac:dyDescent="0.3">
      <c r="A33" s="25" t="s">
        <v>42</v>
      </c>
      <c r="B33" s="3">
        <v>800</v>
      </c>
      <c r="C33" s="3">
        <v>112.00000000000001</v>
      </c>
      <c r="D33" s="26">
        <v>688</v>
      </c>
    </row>
    <row r="34" spans="1:4" x14ac:dyDescent="0.3">
      <c r="A34" s="27" t="s">
        <v>57</v>
      </c>
      <c r="B34" s="3">
        <v>800</v>
      </c>
      <c r="C34" s="3">
        <v>112.00000000000001</v>
      </c>
      <c r="D34" s="26">
        <v>688</v>
      </c>
    </row>
    <row r="35" spans="1:4" x14ac:dyDescent="0.3">
      <c r="A35" s="24" t="s">
        <v>11</v>
      </c>
      <c r="B35" s="3">
        <v>2750</v>
      </c>
      <c r="C35" s="3">
        <v>385</v>
      </c>
      <c r="D35" s="26">
        <v>1591</v>
      </c>
    </row>
    <row r="36" spans="1:4" x14ac:dyDescent="0.3">
      <c r="A36" s="25" t="s">
        <v>5</v>
      </c>
      <c r="B36" s="3">
        <v>2300</v>
      </c>
      <c r="C36" s="3">
        <v>322</v>
      </c>
      <c r="D36" s="26">
        <v>1978</v>
      </c>
    </row>
    <row r="37" spans="1:4" x14ac:dyDescent="0.3">
      <c r="A37" s="27" t="s">
        <v>56</v>
      </c>
      <c r="B37" s="3">
        <v>2300</v>
      </c>
      <c r="C37" s="3">
        <v>322</v>
      </c>
      <c r="D37" s="26">
        <v>1978</v>
      </c>
    </row>
    <row r="38" spans="1:4" x14ac:dyDescent="0.3">
      <c r="A38" s="25" t="s">
        <v>24</v>
      </c>
      <c r="B38" s="3">
        <v>450</v>
      </c>
      <c r="C38" s="3">
        <v>63.000000000000007</v>
      </c>
      <c r="D38" s="26">
        <v>-387</v>
      </c>
    </row>
    <row r="39" spans="1:4" x14ac:dyDescent="0.3">
      <c r="A39" s="27" t="s">
        <v>57</v>
      </c>
      <c r="B39" s="3">
        <v>450</v>
      </c>
      <c r="C39" s="3">
        <v>63.000000000000007</v>
      </c>
      <c r="D39" s="26">
        <v>-387</v>
      </c>
    </row>
    <row r="40" spans="1:4" x14ac:dyDescent="0.3">
      <c r="A40" s="24" t="s">
        <v>16</v>
      </c>
      <c r="B40" s="3">
        <v>2000</v>
      </c>
      <c r="C40" s="3">
        <v>280</v>
      </c>
      <c r="D40" s="26">
        <v>0</v>
      </c>
    </row>
    <row r="41" spans="1:4" x14ac:dyDescent="0.3">
      <c r="A41" s="25" t="s">
        <v>42</v>
      </c>
      <c r="B41" s="3">
        <v>2000</v>
      </c>
      <c r="C41" s="3">
        <v>280</v>
      </c>
      <c r="D41" s="26">
        <v>0</v>
      </c>
    </row>
    <row r="42" spans="1:4" x14ac:dyDescent="0.3">
      <c r="A42" s="27" t="s">
        <v>56</v>
      </c>
      <c r="B42" s="3">
        <v>1000</v>
      </c>
      <c r="C42" s="3">
        <v>140</v>
      </c>
      <c r="D42" s="26">
        <v>860</v>
      </c>
    </row>
    <row r="43" spans="1:4" x14ac:dyDescent="0.3">
      <c r="A43" s="27" t="s">
        <v>57</v>
      </c>
      <c r="B43" s="3">
        <v>1000</v>
      </c>
      <c r="C43" s="3">
        <v>140</v>
      </c>
      <c r="D43" s="26">
        <v>-860</v>
      </c>
    </row>
    <row r="44" spans="1:4" x14ac:dyDescent="0.3">
      <c r="A44" s="24" t="s">
        <v>20</v>
      </c>
      <c r="B44" s="3">
        <v>550</v>
      </c>
      <c r="C44" s="3">
        <v>77.000000000000014</v>
      </c>
      <c r="D44" s="26">
        <v>473</v>
      </c>
    </row>
    <row r="45" spans="1:4" x14ac:dyDescent="0.3">
      <c r="A45" s="25" t="s">
        <v>24</v>
      </c>
      <c r="B45" s="3">
        <v>550</v>
      </c>
      <c r="C45" s="3">
        <v>77.000000000000014</v>
      </c>
      <c r="D45" s="26">
        <v>473</v>
      </c>
    </row>
    <row r="46" spans="1:4" x14ac:dyDescent="0.3">
      <c r="A46" s="27" t="s">
        <v>57</v>
      </c>
      <c r="B46" s="3">
        <v>550</v>
      </c>
      <c r="C46" s="3">
        <v>77.000000000000014</v>
      </c>
      <c r="D46" s="26">
        <v>473</v>
      </c>
    </row>
    <row r="47" spans="1:4" x14ac:dyDescent="0.3">
      <c r="A47" s="24" t="s">
        <v>9</v>
      </c>
      <c r="B47" s="3">
        <v>1000</v>
      </c>
      <c r="C47" s="3">
        <v>140</v>
      </c>
      <c r="D47" s="26">
        <v>860</v>
      </c>
    </row>
    <row r="48" spans="1:4" x14ac:dyDescent="0.3">
      <c r="A48" s="25" t="s">
        <v>5</v>
      </c>
      <c r="B48" s="3">
        <v>1000</v>
      </c>
      <c r="C48" s="3">
        <v>140</v>
      </c>
      <c r="D48" s="26">
        <v>860</v>
      </c>
    </row>
    <row r="49" spans="1:4" x14ac:dyDescent="0.3">
      <c r="A49" s="27" t="s">
        <v>56</v>
      </c>
      <c r="B49" s="3">
        <v>1000</v>
      </c>
      <c r="C49" s="3">
        <v>140</v>
      </c>
      <c r="D49" s="26">
        <v>860</v>
      </c>
    </row>
    <row r="50" spans="1:4" x14ac:dyDescent="0.3">
      <c r="A50" s="24" t="s">
        <v>13</v>
      </c>
      <c r="B50" s="3">
        <v>6500</v>
      </c>
      <c r="C50" s="3">
        <v>910.00000000000011</v>
      </c>
      <c r="D50" s="26">
        <v>5590</v>
      </c>
    </row>
    <row r="51" spans="1:4" x14ac:dyDescent="0.3">
      <c r="A51" s="25" t="s">
        <v>5</v>
      </c>
      <c r="B51" s="3">
        <v>6000</v>
      </c>
      <c r="C51" s="3">
        <v>840.00000000000011</v>
      </c>
      <c r="D51" s="26">
        <v>5160</v>
      </c>
    </row>
    <row r="52" spans="1:4" x14ac:dyDescent="0.3">
      <c r="A52" s="27" t="s">
        <v>56</v>
      </c>
      <c r="B52" s="3">
        <v>6000</v>
      </c>
      <c r="C52" s="3">
        <v>840.00000000000011</v>
      </c>
      <c r="D52" s="26">
        <v>5160</v>
      </c>
    </row>
    <row r="53" spans="1:4" x14ac:dyDescent="0.3">
      <c r="A53" s="25" t="s">
        <v>24</v>
      </c>
      <c r="B53" s="3">
        <v>500</v>
      </c>
      <c r="C53" s="3">
        <v>70</v>
      </c>
      <c r="D53" s="26">
        <v>430</v>
      </c>
    </row>
    <row r="54" spans="1:4" x14ac:dyDescent="0.3">
      <c r="A54" s="27" t="s">
        <v>56</v>
      </c>
      <c r="B54" s="3">
        <v>500</v>
      </c>
      <c r="C54" s="3">
        <v>70</v>
      </c>
      <c r="D54" s="26">
        <v>430</v>
      </c>
    </row>
    <row r="55" spans="1:4" x14ac:dyDescent="0.3">
      <c r="A55" s="24" t="s">
        <v>22</v>
      </c>
      <c r="B55" s="3">
        <v>2400</v>
      </c>
      <c r="C55" s="3">
        <v>336.00000000000006</v>
      </c>
      <c r="D55" s="26">
        <v>-2064</v>
      </c>
    </row>
    <row r="56" spans="1:4" x14ac:dyDescent="0.3">
      <c r="A56" s="25" t="s">
        <v>5</v>
      </c>
      <c r="B56" s="3">
        <v>2400</v>
      </c>
      <c r="C56" s="3">
        <v>336.00000000000006</v>
      </c>
      <c r="D56" s="26">
        <v>-2064</v>
      </c>
    </row>
    <row r="57" spans="1:4" x14ac:dyDescent="0.3">
      <c r="A57" s="27" t="s">
        <v>57</v>
      </c>
      <c r="B57" s="3">
        <v>2400</v>
      </c>
      <c r="C57" s="3">
        <v>336.00000000000006</v>
      </c>
      <c r="D57" s="26">
        <v>-2064</v>
      </c>
    </row>
    <row r="58" spans="1:4" x14ac:dyDescent="0.3">
      <c r="A58" s="24" t="s">
        <v>12</v>
      </c>
      <c r="B58" s="3">
        <v>4000</v>
      </c>
      <c r="C58" s="3">
        <v>560</v>
      </c>
      <c r="D58" s="26">
        <v>3440</v>
      </c>
    </row>
    <row r="59" spans="1:4" x14ac:dyDescent="0.3">
      <c r="A59" s="25" t="s">
        <v>5</v>
      </c>
      <c r="B59" s="3">
        <v>4000</v>
      </c>
      <c r="C59" s="3">
        <v>560</v>
      </c>
      <c r="D59" s="26">
        <v>3440</v>
      </c>
    </row>
    <row r="60" spans="1:4" x14ac:dyDescent="0.3">
      <c r="A60" s="27" t="s">
        <v>56</v>
      </c>
      <c r="B60" s="3">
        <v>4000</v>
      </c>
      <c r="C60" s="3">
        <v>560</v>
      </c>
      <c r="D60" s="26">
        <v>3440</v>
      </c>
    </row>
    <row r="61" spans="1:4" x14ac:dyDescent="0.3">
      <c r="A61" s="24" t="s">
        <v>18</v>
      </c>
      <c r="B61" s="3">
        <v>2000</v>
      </c>
      <c r="C61" s="3">
        <v>280</v>
      </c>
      <c r="D61" s="26">
        <v>1720</v>
      </c>
    </row>
    <row r="62" spans="1:4" x14ac:dyDescent="0.3">
      <c r="A62" s="25" t="s">
        <v>42</v>
      </c>
      <c r="B62" s="3">
        <v>2000</v>
      </c>
      <c r="C62" s="3">
        <v>280</v>
      </c>
      <c r="D62" s="26">
        <v>1720</v>
      </c>
    </row>
    <row r="63" spans="1:4" x14ac:dyDescent="0.3">
      <c r="A63" s="27" t="s">
        <v>56</v>
      </c>
      <c r="B63" s="3">
        <v>2000</v>
      </c>
      <c r="C63" s="3">
        <v>280</v>
      </c>
      <c r="D63" s="26">
        <v>1720</v>
      </c>
    </row>
    <row r="64" spans="1:4" x14ac:dyDescent="0.3">
      <c r="A64" s="24" t="s">
        <v>10</v>
      </c>
      <c r="B64" s="3">
        <v>3900</v>
      </c>
      <c r="C64" s="3">
        <v>546.00000000000011</v>
      </c>
      <c r="D64" s="26">
        <v>3354</v>
      </c>
    </row>
    <row r="65" spans="1:4" x14ac:dyDescent="0.3">
      <c r="A65" s="25" t="s">
        <v>42</v>
      </c>
      <c r="B65" s="3">
        <v>900</v>
      </c>
      <c r="C65" s="3">
        <v>126.00000000000001</v>
      </c>
      <c r="D65" s="26">
        <v>774</v>
      </c>
    </row>
    <row r="66" spans="1:4" x14ac:dyDescent="0.3">
      <c r="A66" s="27" t="s">
        <v>57</v>
      </c>
      <c r="B66" s="3">
        <v>900</v>
      </c>
      <c r="C66" s="3">
        <v>126.00000000000001</v>
      </c>
      <c r="D66" s="26">
        <v>774</v>
      </c>
    </row>
    <row r="67" spans="1:4" x14ac:dyDescent="0.3">
      <c r="A67" s="25" t="s">
        <v>5</v>
      </c>
      <c r="B67" s="3">
        <v>3000</v>
      </c>
      <c r="C67" s="3">
        <v>420.00000000000006</v>
      </c>
      <c r="D67" s="26">
        <v>2580</v>
      </c>
    </row>
    <row r="68" spans="1:4" x14ac:dyDescent="0.3">
      <c r="A68" s="27" t="s">
        <v>56</v>
      </c>
      <c r="B68" s="3">
        <v>3000</v>
      </c>
      <c r="C68" s="3">
        <v>420.00000000000006</v>
      </c>
      <c r="D68" s="26">
        <v>2580</v>
      </c>
    </row>
    <row r="69" spans="1:4" x14ac:dyDescent="0.3">
      <c r="A69" s="24" t="s">
        <v>17</v>
      </c>
      <c r="B69" s="3">
        <v>1060</v>
      </c>
      <c r="C69" s="3">
        <v>148.4</v>
      </c>
      <c r="D69" s="26">
        <v>911.6</v>
      </c>
    </row>
    <row r="70" spans="1:4" x14ac:dyDescent="0.3">
      <c r="A70" s="25" t="s">
        <v>24</v>
      </c>
      <c r="B70" s="3">
        <v>1060</v>
      </c>
      <c r="C70" s="3">
        <v>148.4</v>
      </c>
      <c r="D70" s="26">
        <v>911.6</v>
      </c>
    </row>
    <row r="71" spans="1:4" x14ac:dyDescent="0.3">
      <c r="A71" s="27" t="s">
        <v>56</v>
      </c>
      <c r="B71" s="3">
        <v>400</v>
      </c>
      <c r="C71" s="3">
        <v>56.000000000000007</v>
      </c>
      <c r="D71" s="26">
        <v>344</v>
      </c>
    </row>
    <row r="72" spans="1:4" x14ac:dyDescent="0.3">
      <c r="A72" s="27" t="s">
        <v>57</v>
      </c>
      <c r="B72" s="3">
        <v>660</v>
      </c>
      <c r="C72" s="3">
        <v>92.4</v>
      </c>
      <c r="D72" s="26">
        <v>567.6</v>
      </c>
    </row>
    <row r="73" spans="1:4" x14ac:dyDescent="0.3">
      <c r="A73" s="24" t="s">
        <v>8</v>
      </c>
      <c r="B73" s="3">
        <v>4900</v>
      </c>
      <c r="C73" s="3">
        <v>686</v>
      </c>
      <c r="D73" s="26">
        <v>258</v>
      </c>
    </row>
    <row r="74" spans="1:4" x14ac:dyDescent="0.3">
      <c r="A74" s="25" t="s">
        <v>5</v>
      </c>
      <c r="B74" s="3">
        <v>4900</v>
      </c>
      <c r="C74" s="3">
        <v>686</v>
      </c>
      <c r="D74" s="26">
        <v>258</v>
      </c>
    </row>
    <row r="75" spans="1:4" x14ac:dyDescent="0.3">
      <c r="A75" s="27" t="s">
        <v>56</v>
      </c>
      <c r="B75" s="3">
        <v>2600</v>
      </c>
      <c r="C75" s="3">
        <v>364</v>
      </c>
      <c r="D75" s="26">
        <v>2236</v>
      </c>
    </row>
    <row r="76" spans="1:4" x14ac:dyDescent="0.3">
      <c r="A76" s="27" t="s">
        <v>57</v>
      </c>
      <c r="B76" s="3">
        <v>2300</v>
      </c>
      <c r="C76" s="3">
        <v>322.00000000000006</v>
      </c>
      <c r="D76" s="26">
        <v>-1978</v>
      </c>
    </row>
    <row r="77" spans="1:4" x14ac:dyDescent="0.3">
      <c r="A77" s="24" t="s">
        <v>15</v>
      </c>
      <c r="B77" s="3">
        <v>1850</v>
      </c>
      <c r="C77" s="3">
        <v>259.00000000000006</v>
      </c>
      <c r="D77" s="26">
        <v>989</v>
      </c>
    </row>
    <row r="78" spans="1:4" x14ac:dyDescent="0.3">
      <c r="A78" s="25" t="s">
        <v>5</v>
      </c>
      <c r="B78" s="3">
        <v>1500</v>
      </c>
      <c r="C78" s="3">
        <v>210.00000000000003</v>
      </c>
      <c r="D78" s="26">
        <v>1290</v>
      </c>
    </row>
    <row r="79" spans="1:4" x14ac:dyDescent="0.3">
      <c r="A79" s="27" t="s">
        <v>56</v>
      </c>
      <c r="B79" s="3">
        <v>1500</v>
      </c>
      <c r="C79" s="3">
        <v>210.00000000000003</v>
      </c>
      <c r="D79" s="26">
        <v>1290</v>
      </c>
    </row>
    <row r="80" spans="1:4" x14ac:dyDescent="0.3">
      <c r="A80" s="25" t="s">
        <v>24</v>
      </c>
      <c r="B80" s="3">
        <v>350</v>
      </c>
      <c r="C80" s="3">
        <v>49.000000000000007</v>
      </c>
      <c r="D80" s="26">
        <v>-301</v>
      </c>
    </row>
    <row r="81" spans="1:4" x14ac:dyDescent="0.3">
      <c r="A81" s="27" t="s">
        <v>57</v>
      </c>
      <c r="B81" s="3">
        <v>350</v>
      </c>
      <c r="C81" s="3">
        <v>49.000000000000007</v>
      </c>
      <c r="D81" s="26">
        <v>-301</v>
      </c>
    </row>
    <row r="82" spans="1:4" x14ac:dyDescent="0.3">
      <c r="A82" s="24" t="s">
        <v>14</v>
      </c>
      <c r="B82" s="3">
        <v>7000</v>
      </c>
      <c r="C82" s="3">
        <v>980.00000000000011</v>
      </c>
      <c r="D82" s="26">
        <v>6020</v>
      </c>
    </row>
    <row r="83" spans="1:4" x14ac:dyDescent="0.3">
      <c r="A83" s="25" t="s">
        <v>5</v>
      </c>
      <c r="B83" s="3">
        <v>7000</v>
      </c>
      <c r="C83" s="3">
        <v>980.00000000000011</v>
      </c>
      <c r="D83" s="26">
        <v>6020</v>
      </c>
    </row>
    <row r="84" spans="1:4" x14ac:dyDescent="0.3">
      <c r="A84" s="27" t="s">
        <v>56</v>
      </c>
      <c r="B84" s="3">
        <v>7000</v>
      </c>
      <c r="C84" s="3">
        <v>980.00000000000011</v>
      </c>
      <c r="D84" s="26">
        <v>6020</v>
      </c>
    </row>
    <row r="85" spans="1:4" x14ac:dyDescent="0.3">
      <c r="A85" s="24" t="s">
        <v>19</v>
      </c>
      <c r="B85" s="3">
        <v>300</v>
      </c>
      <c r="C85" s="3">
        <v>42.000000000000007</v>
      </c>
      <c r="D85" s="26">
        <v>258</v>
      </c>
    </row>
    <row r="86" spans="1:4" x14ac:dyDescent="0.3">
      <c r="A86" s="25" t="s">
        <v>24</v>
      </c>
      <c r="B86" s="3">
        <v>300</v>
      </c>
      <c r="C86" s="3">
        <v>42.000000000000007</v>
      </c>
      <c r="D86" s="26">
        <v>258</v>
      </c>
    </row>
    <row r="87" spans="1:4" x14ac:dyDescent="0.3">
      <c r="A87" s="27" t="s">
        <v>56</v>
      </c>
      <c r="B87" s="3">
        <v>300</v>
      </c>
      <c r="C87" s="3">
        <v>42.000000000000007</v>
      </c>
      <c r="D87" s="26">
        <v>258</v>
      </c>
    </row>
    <row r="88" spans="1:4" x14ac:dyDescent="0.3">
      <c r="A88" s="24" t="s">
        <v>49</v>
      </c>
      <c r="B88" s="3">
        <v>49010</v>
      </c>
      <c r="C88" s="3">
        <v>6861.4</v>
      </c>
      <c r="D88" s="26">
        <v>30968.6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B8D51-DD92-4CDB-95BB-A9EFC84E9AD5}">
  <sheetPr>
    <tabColor rgb="FFFF0000"/>
  </sheetPr>
  <dimension ref="A3:D108"/>
  <sheetViews>
    <sheetView rightToLeft="1" topLeftCell="A6" workbookViewId="0">
      <selection activeCell="B24" sqref="B24"/>
    </sheetView>
  </sheetViews>
  <sheetFormatPr defaultRowHeight="14.4" x14ac:dyDescent="0.3"/>
  <cols>
    <col min="1" max="1" width="13.77734375" bestFit="1" customWidth="1"/>
    <col min="2" max="2" width="13.33203125" bestFit="1" customWidth="1"/>
    <col min="3" max="3" width="11" bestFit="1" customWidth="1"/>
    <col min="4" max="5" width="11.88671875" bestFit="1" customWidth="1"/>
    <col min="6" max="6" width="11" bestFit="1" customWidth="1"/>
    <col min="7" max="7" width="13.33203125" bestFit="1" customWidth="1"/>
    <col min="8" max="8" width="16.44140625" bestFit="1" customWidth="1"/>
    <col min="9" max="9" width="15.5546875" bestFit="1" customWidth="1"/>
    <col min="10" max="10" width="17.88671875" bestFit="1" customWidth="1"/>
    <col min="11" max="11" width="11.88671875" bestFit="1" customWidth="1"/>
    <col min="12" max="12" width="11" bestFit="1" customWidth="1"/>
    <col min="13" max="13" width="13.33203125" bestFit="1" customWidth="1"/>
    <col min="14" max="14" width="11.88671875" bestFit="1" customWidth="1"/>
    <col min="15" max="15" width="11" bestFit="1" customWidth="1"/>
    <col min="16" max="16" width="13.33203125" bestFit="1" customWidth="1"/>
    <col min="17" max="17" width="11.88671875" bestFit="1" customWidth="1"/>
    <col min="18" max="18" width="11" bestFit="1" customWidth="1"/>
    <col min="19" max="19" width="13.33203125" bestFit="1" customWidth="1"/>
    <col min="20" max="20" width="11.88671875" bestFit="1" customWidth="1"/>
    <col min="21" max="21" width="11" bestFit="1" customWidth="1"/>
    <col min="22" max="22" width="13.33203125" bestFit="1" customWidth="1"/>
    <col min="23" max="23" width="11.88671875" bestFit="1" customWidth="1"/>
    <col min="24" max="24" width="11" bestFit="1" customWidth="1"/>
    <col min="25" max="25" width="13.33203125" bestFit="1" customWidth="1"/>
    <col min="26" max="26" width="11.88671875" bestFit="1" customWidth="1"/>
    <col min="27" max="27" width="11" bestFit="1" customWidth="1"/>
    <col min="28" max="28" width="13.33203125" bestFit="1" customWidth="1"/>
    <col min="29" max="29" width="11.88671875" bestFit="1" customWidth="1"/>
    <col min="30" max="30" width="11" bestFit="1" customWidth="1"/>
    <col min="31" max="31" width="13.33203125" bestFit="1" customWidth="1"/>
    <col min="32" max="32" width="11.88671875" bestFit="1" customWidth="1"/>
    <col min="33" max="33" width="11" bestFit="1" customWidth="1"/>
    <col min="34" max="34" width="13.33203125" bestFit="1" customWidth="1"/>
    <col min="35" max="35" width="11.88671875" bestFit="1" customWidth="1"/>
    <col min="36" max="36" width="11" bestFit="1" customWidth="1"/>
    <col min="37" max="37" width="13.33203125" bestFit="1" customWidth="1"/>
    <col min="38" max="38" width="11.88671875" bestFit="1" customWidth="1"/>
    <col min="39" max="39" width="11" bestFit="1" customWidth="1"/>
    <col min="40" max="40" width="13.33203125" bestFit="1" customWidth="1"/>
    <col min="41" max="41" width="11.88671875" bestFit="1" customWidth="1"/>
    <col min="42" max="42" width="11" bestFit="1" customWidth="1"/>
    <col min="43" max="43" width="13.33203125" bestFit="1" customWidth="1"/>
    <col min="44" max="44" width="11.88671875" bestFit="1" customWidth="1"/>
    <col min="45" max="45" width="11" bestFit="1" customWidth="1"/>
    <col min="46" max="46" width="13.33203125" bestFit="1" customWidth="1"/>
    <col min="47" max="47" width="11.88671875" bestFit="1" customWidth="1"/>
    <col min="48" max="48" width="11" bestFit="1" customWidth="1"/>
    <col min="49" max="49" width="13.33203125" bestFit="1" customWidth="1"/>
    <col min="50" max="50" width="11.88671875" bestFit="1" customWidth="1"/>
    <col min="51" max="51" width="11" bestFit="1" customWidth="1"/>
    <col min="52" max="52" width="13.33203125" bestFit="1" customWidth="1"/>
    <col min="53" max="53" width="11.88671875" bestFit="1" customWidth="1"/>
    <col min="54" max="54" width="11" bestFit="1" customWidth="1"/>
    <col min="55" max="55" width="13.33203125" bestFit="1" customWidth="1"/>
    <col min="56" max="56" width="11.88671875" bestFit="1" customWidth="1"/>
    <col min="57" max="57" width="11" bestFit="1" customWidth="1"/>
    <col min="58" max="58" width="13.33203125" bestFit="1" customWidth="1"/>
    <col min="59" max="59" width="11.88671875" bestFit="1" customWidth="1"/>
    <col min="60" max="60" width="11" bestFit="1" customWidth="1"/>
    <col min="61" max="61" width="13.33203125" bestFit="1" customWidth="1"/>
    <col min="62" max="62" width="11.88671875" bestFit="1" customWidth="1"/>
    <col min="63" max="63" width="11" bestFit="1" customWidth="1"/>
    <col min="64" max="64" width="13.33203125" bestFit="1" customWidth="1"/>
    <col min="65" max="65" width="11.88671875" bestFit="1" customWidth="1"/>
    <col min="66" max="66" width="11" bestFit="1" customWidth="1"/>
    <col min="67" max="67" width="13.33203125" bestFit="1" customWidth="1"/>
    <col min="68" max="68" width="11.88671875" bestFit="1" customWidth="1"/>
    <col min="69" max="69" width="11" bestFit="1" customWidth="1"/>
    <col min="70" max="70" width="13.33203125" bestFit="1" customWidth="1"/>
    <col min="71" max="71" width="11.88671875" bestFit="1" customWidth="1"/>
    <col min="72" max="72" width="11" bestFit="1" customWidth="1"/>
    <col min="73" max="73" width="13.33203125" bestFit="1" customWidth="1"/>
    <col min="74" max="74" width="11.88671875" bestFit="1" customWidth="1"/>
    <col min="75" max="75" width="11" bestFit="1" customWidth="1"/>
    <col min="76" max="76" width="13.33203125" bestFit="1" customWidth="1"/>
    <col min="77" max="77" width="11.88671875" bestFit="1" customWidth="1"/>
    <col min="78" max="78" width="11" bestFit="1" customWidth="1"/>
    <col min="79" max="79" width="13.33203125" bestFit="1" customWidth="1"/>
    <col min="80" max="80" width="11.88671875" bestFit="1" customWidth="1"/>
    <col min="81" max="81" width="11" bestFit="1" customWidth="1"/>
    <col min="82" max="82" width="13.33203125" bestFit="1" customWidth="1"/>
    <col min="83" max="83" width="16.44140625" bestFit="1" customWidth="1"/>
    <col min="84" max="84" width="15.5546875" bestFit="1" customWidth="1"/>
    <col min="85" max="85" width="17.88671875" bestFit="1" customWidth="1"/>
  </cols>
  <sheetData>
    <row r="3" spans="1:4" x14ac:dyDescent="0.3">
      <c r="A3" s="21" t="s">
        <v>48</v>
      </c>
      <c r="B3" t="s">
        <v>60</v>
      </c>
      <c r="C3" t="s">
        <v>59</v>
      </c>
      <c r="D3" t="s">
        <v>58</v>
      </c>
    </row>
    <row r="4" spans="1:4" x14ac:dyDescent="0.3">
      <c r="A4" s="24" t="s">
        <v>42</v>
      </c>
    </row>
    <row r="5" spans="1:4" x14ac:dyDescent="0.3">
      <c r="A5" s="25" t="s">
        <v>7</v>
      </c>
      <c r="B5">
        <v>2580</v>
      </c>
      <c r="C5">
        <v>420.00000000000006</v>
      </c>
      <c r="D5">
        <v>3000</v>
      </c>
    </row>
    <row r="6" spans="1:4" x14ac:dyDescent="0.3">
      <c r="A6" s="25" t="s">
        <v>21</v>
      </c>
      <c r="B6">
        <v>688</v>
      </c>
      <c r="C6">
        <v>112.00000000000001</v>
      </c>
      <c r="D6">
        <v>800</v>
      </c>
    </row>
    <row r="7" spans="1:4" x14ac:dyDescent="0.3">
      <c r="A7" s="25" t="s">
        <v>16</v>
      </c>
      <c r="B7">
        <v>0</v>
      </c>
      <c r="C7">
        <v>280</v>
      </c>
      <c r="D7">
        <v>2000</v>
      </c>
    </row>
    <row r="8" spans="1:4" x14ac:dyDescent="0.3">
      <c r="A8" s="25" t="s">
        <v>18</v>
      </c>
      <c r="B8">
        <v>1720</v>
      </c>
      <c r="C8">
        <v>280</v>
      </c>
      <c r="D8">
        <v>2000</v>
      </c>
    </row>
    <row r="9" spans="1:4" x14ac:dyDescent="0.3">
      <c r="A9" s="25" t="s">
        <v>10</v>
      </c>
      <c r="B9">
        <v>774</v>
      </c>
      <c r="C9">
        <v>126.00000000000001</v>
      </c>
      <c r="D9">
        <v>900</v>
      </c>
    </row>
    <row r="10" spans="1:4" x14ac:dyDescent="0.3">
      <c r="A10" s="24" t="s">
        <v>5</v>
      </c>
    </row>
    <row r="11" spans="1:4" x14ac:dyDescent="0.3">
      <c r="A11" s="25" t="s">
        <v>7</v>
      </c>
      <c r="B11">
        <v>4300</v>
      </c>
      <c r="C11">
        <v>700.00000000000011</v>
      </c>
      <c r="D11">
        <v>5000</v>
      </c>
    </row>
    <row r="12" spans="1:4" x14ac:dyDescent="0.3">
      <c r="A12" s="25" t="s">
        <v>11</v>
      </c>
      <c r="B12">
        <v>1978</v>
      </c>
      <c r="C12">
        <v>322</v>
      </c>
      <c r="D12">
        <v>2300</v>
      </c>
    </row>
    <row r="13" spans="1:4" x14ac:dyDescent="0.3">
      <c r="A13" s="25" t="s">
        <v>9</v>
      </c>
      <c r="B13">
        <v>860</v>
      </c>
      <c r="C13">
        <v>140</v>
      </c>
      <c r="D13">
        <v>1000</v>
      </c>
    </row>
    <row r="14" spans="1:4" x14ac:dyDescent="0.3">
      <c r="A14" s="25" t="s">
        <v>13</v>
      </c>
      <c r="B14">
        <v>5160</v>
      </c>
      <c r="C14">
        <v>840.00000000000011</v>
      </c>
      <c r="D14">
        <v>6000</v>
      </c>
    </row>
    <row r="15" spans="1:4" x14ac:dyDescent="0.3">
      <c r="A15" s="25" t="s">
        <v>22</v>
      </c>
      <c r="B15">
        <v>-2064</v>
      </c>
      <c r="C15">
        <v>336.00000000000006</v>
      </c>
      <c r="D15">
        <v>2400</v>
      </c>
    </row>
    <row r="16" spans="1:4" x14ac:dyDescent="0.3">
      <c r="A16" s="25" t="s">
        <v>12</v>
      </c>
      <c r="B16">
        <v>3440</v>
      </c>
      <c r="C16">
        <v>560</v>
      </c>
      <c r="D16">
        <v>4000</v>
      </c>
    </row>
    <row r="17" spans="1:4" x14ac:dyDescent="0.3">
      <c r="A17" s="25" t="s">
        <v>10</v>
      </c>
      <c r="B17">
        <v>2580</v>
      </c>
      <c r="C17">
        <v>420.00000000000006</v>
      </c>
      <c r="D17">
        <v>3000</v>
      </c>
    </row>
    <row r="18" spans="1:4" x14ac:dyDescent="0.3">
      <c r="A18" s="25" t="s">
        <v>8</v>
      </c>
      <c r="B18">
        <v>258</v>
      </c>
      <c r="C18">
        <v>686</v>
      </c>
      <c r="D18">
        <v>4900</v>
      </c>
    </row>
    <row r="19" spans="1:4" x14ac:dyDescent="0.3">
      <c r="A19" s="25" t="s">
        <v>15</v>
      </c>
      <c r="B19">
        <v>1290</v>
      </c>
      <c r="C19">
        <v>210.00000000000003</v>
      </c>
      <c r="D19">
        <v>1500</v>
      </c>
    </row>
    <row r="20" spans="1:4" x14ac:dyDescent="0.3">
      <c r="A20" s="25" t="s">
        <v>14</v>
      </c>
      <c r="B20">
        <v>6020</v>
      </c>
      <c r="C20">
        <v>980.00000000000011</v>
      </c>
      <c r="D20">
        <v>7000</v>
      </c>
    </row>
    <row r="21" spans="1:4" x14ac:dyDescent="0.3">
      <c r="A21" s="24" t="s">
        <v>24</v>
      </c>
    </row>
    <row r="22" spans="1:4" x14ac:dyDescent="0.3">
      <c r="A22" s="25" t="s">
        <v>11</v>
      </c>
      <c r="B22">
        <v>-387</v>
      </c>
      <c r="C22">
        <v>63.000000000000007</v>
      </c>
      <c r="D22">
        <v>450</v>
      </c>
    </row>
    <row r="23" spans="1:4" x14ac:dyDescent="0.3">
      <c r="A23" s="25" t="s">
        <v>20</v>
      </c>
      <c r="B23">
        <v>473</v>
      </c>
      <c r="C23">
        <v>77.000000000000014</v>
      </c>
      <c r="D23">
        <v>550</v>
      </c>
    </row>
    <row r="24" spans="1:4" x14ac:dyDescent="0.3">
      <c r="A24" s="25" t="s">
        <v>13</v>
      </c>
      <c r="B24">
        <v>430</v>
      </c>
      <c r="C24">
        <v>70</v>
      </c>
      <c r="D24">
        <v>500</v>
      </c>
    </row>
    <row r="25" spans="1:4" x14ac:dyDescent="0.3">
      <c r="A25" s="25" t="s">
        <v>17</v>
      </c>
      <c r="B25">
        <v>911.6</v>
      </c>
      <c r="C25">
        <v>148.4</v>
      </c>
      <c r="D25">
        <v>1060</v>
      </c>
    </row>
    <row r="26" spans="1:4" x14ac:dyDescent="0.3">
      <c r="A26" s="25" t="s">
        <v>15</v>
      </c>
      <c r="B26">
        <v>-301</v>
      </c>
      <c r="C26">
        <v>49.000000000000007</v>
      </c>
      <c r="D26">
        <v>350</v>
      </c>
    </row>
    <row r="27" spans="1:4" x14ac:dyDescent="0.3">
      <c r="A27" s="25" t="s">
        <v>19</v>
      </c>
      <c r="B27">
        <v>258</v>
      </c>
      <c r="C27">
        <v>42.000000000000007</v>
      </c>
      <c r="D27">
        <v>300</v>
      </c>
    </row>
    <row r="28" spans="1:4" x14ac:dyDescent="0.3">
      <c r="A28" s="24" t="s">
        <v>49</v>
      </c>
      <c r="B28">
        <v>30968.6</v>
      </c>
      <c r="C28">
        <v>6861.4</v>
      </c>
      <c r="D28">
        <v>49010</v>
      </c>
    </row>
    <row r="74" spans="1:3" x14ac:dyDescent="0.3">
      <c r="A74" s="21" t="s">
        <v>48</v>
      </c>
      <c r="B74" t="s">
        <v>62</v>
      </c>
      <c r="C74" t="s">
        <v>63</v>
      </c>
    </row>
    <row r="75" spans="1:3" x14ac:dyDescent="0.3">
      <c r="A75" s="24" t="s">
        <v>7</v>
      </c>
    </row>
    <row r="76" spans="1:3" x14ac:dyDescent="0.3">
      <c r="A76" s="25" t="s">
        <v>50</v>
      </c>
    </row>
    <row r="77" spans="1:3" x14ac:dyDescent="0.3">
      <c r="A77" s="27" t="s">
        <v>6</v>
      </c>
      <c r="B77">
        <v>1720</v>
      </c>
      <c r="C77">
        <v>7.8616352201257858E-2</v>
      </c>
    </row>
    <row r="78" spans="1:3" x14ac:dyDescent="0.3">
      <c r="A78" s="24" t="s">
        <v>11</v>
      </c>
    </row>
    <row r="79" spans="1:3" x14ac:dyDescent="0.3">
      <c r="A79" s="25" t="s">
        <v>50</v>
      </c>
    </row>
    <row r="80" spans="1:3" x14ac:dyDescent="0.3">
      <c r="A80" s="27" t="s">
        <v>28</v>
      </c>
      <c r="B80">
        <v>2365</v>
      </c>
      <c r="C80">
        <v>0.1372255489021956</v>
      </c>
    </row>
    <row r="81" spans="1:3" x14ac:dyDescent="0.3">
      <c r="A81" s="24" t="s">
        <v>16</v>
      </c>
    </row>
    <row r="82" spans="1:3" x14ac:dyDescent="0.3">
      <c r="A82" s="25" t="s">
        <v>50</v>
      </c>
    </row>
    <row r="83" spans="1:3" x14ac:dyDescent="0.3">
      <c r="A83" s="27" t="s">
        <v>33</v>
      </c>
      <c r="B83">
        <v>0</v>
      </c>
      <c r="C83">
        <v>0</v>
      </c>
    </row>
    <row r="84" spans="1:3" x14ac:dyDescent="0.3">
      <c r="A84" s="24" t="s">
        <v>9</v>
      </c>
    </row>
    <row r="85" spans="1:3" x14ac:dyDescent="0.3">
      <c r="A85" s="25" t="s">
        <v>50</v>
      </c>
    </row>
    <row r="86" spans="1:3" x14ac:dyDescent="0.3">
      <c r="A86" s="27" t="s">
        <v>26</v>
      </c>
      <c r="B86">
        <v>860</v>
      </c>
      <c r="C86">
        <v>4.3215211754537596E-2</v>
      </c>
    </row>
    <row r="87" spans="1:3" x14ac:dyDescent="0.3">
      <c r="A87" s="24" t="s">
        <v>13</v>
      </c>
    </row>
    <row r="88" spans="1:3" x14ac:dyDescent="0.3">
      <c r="A88" s="25" t="s">
        <v>51</v>
      </c>
    </row>
    <row r="89" spans="1:3" x14ac:dyDescent="0.3">
      <c r="A89" s="27" t="s">
        <v>30</v>
      </c>
      <c r="B89">
        <v>4730</v>
      </c>
      <c r="C89">
        <v>0.41384499623777277</v>
      </c>
    </row>
    <row r="90" spans="1:3" x14ac:dyDescent="0.3">
      <c r="A90" s="24" t="s">
        <v>12</v>
      </c>
    </row>
    <row r="91" spans="1:3" x14ac:dyDescent="0.3">
      <c r="A91" s="25" t="s">
        <v>51</v>
      </c>
    </row>
    <row r="92" spans="1:3" x14ac:dyDescent="0.3">
      <c r="A92" s="27" t="s">
        <v>29</v>
      </c>
      <c r="B92">
        <v>3440</v>
      </c>
      <c r="C92">
        <v>0.23134759976865241</v>
      </c>
    </row>
    <row r="93" spans="1:3" x14ac:dyDescent="0.3">
      <c r="A93" s="24" t="s">
        <v>10</v>
      </c>
    </row>
    <row r="94" spans="1:3" x14ac:dyDescent="0.3">
      <c r="A94" s="25" t="s">
        <v>50</v>
      </c>
    </row>
    <row r="95" spans="1:3" x14ac:dyDescent="0.3">
      <c r="A95" s="27" t="s">
        <v>27</v>
      </c>
      <c r="B95">
        <v>1806</v>
      </c>
      <c r="C95">
        <v>9.4850948509485083E-2</v>
      </c>
    </row>
    <row r="96" spans="1:3" x14ac:dyDescent="0.3">
      <c r="A96" s="24" t="s">
        <v>17</v>
      </c>
    </row>
    <row r="97" spans="1:3" x14ac:dyDescent="0.3">
      <c r="A97" s="25" t="s">
        <v>50</v>
      </c>
    </row>
    <row r="98" spans="1:3" x14ac:dyDescent="0.3">
      <c r="A98" s="27" t="s">
        <v>34</v>
      </c>
      <c r="B98">
        <v>-911.6</v>
      </c>
      <c r="C98">
        <v>1</v>
      </c>
    </row>
    <row r="99" spans="1:3" x14ac:dyDescent="0.3">
      <c r="A99" s="24" t="s">
        <v>8</v>
      </c>
    </row>
    <row r="100" spans="1:3" x14ac:dyDescent="0.3">
      <c r="A100" s="25" t="s">
        <v>50</v>
      </c>
    </row>
    <row r="101" spans="1:3" x14ac:dyDescent="0.3">
      <c r="A101" s="27" t="s">
        <v>25</v>
      </c>
      <c r="B101">
        <v>258</v>
      </c>
      <c r="C101">
        <v>1.2798634812286689E-2</v>
      </c>
    </row>
    <row r="102" spans="1:3" x14ac:dyDescent="0.3">
      <c r="A102" s="24" t="s">
        <v>15</v>
      </c>
    </row>
    <row r="103" spans="1:3" x14ac:dyDescent="0.3">
      <c r="A103" s="25" t="s">
        <v>50</v>
      </c>
    </row>
    <row r="104" spans="1:3" x14ac:dyDescent="0.3">
      <c r="A104" s="27" t="s">
        <v>32</v>
      </c>
      <c r="B104">
        <v>1591</v>
      </c>
      <c r="C104">
        <v>2.3417721518987342</v>
      </c>
    </row>
    <row r="105" spans="1:3" x14ac:dyDescent="0.3">
      <c r="A105" s="24" t="s">
        <v>14</v>
      </c>
    </row>
    <row r="106" spans="1:3" x14ac:dyDescent="0.3">
      <c r="A106" s="25" t="s">
        <v>51</v>
      </c>
    </row>
    <row r="107" spans="1:3" x14ac:dyDescent="0.3">
      <c r="A107" s="27" t="s">
        <v>31</v>
      </c>
      <c r="B107">
        <v>6020</v>
      </c>
      <c r="C107">
        <v>0.89858793324775355</v>
      </c>
    </row>
    <row r="108" spans="1:3" x14ac:dyDescent="0.3">
      <c r="A108" s="24" t="s">
        <v>49</v>
      </c>
      <c r="B108">
        <v>21878.400000000001</v>
      </c>
      <c r="C108">
        <v>5.2522593773326758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AE777-F1B0-4DA7-BE7A-6DB82D2C81C1}">
  <dimension ref="C6:T37"/>
  <sheetViews>
    <sheetView rightToLeft="1" tabSelected="1" topLeftCell="F8" zoomScale="96" zoomScaleNormal="96" workbookViewId="0">
      <selection activeCell="J26" sqref="J26"/>
    </sheetView>
  </sheetViews>
  <sheetFormatPr defaultRowHeight="14.4" x14ac:dyDescent="0.3"/>
  <cols>
    <col min="3" max="3" width="10.44140625" bestFit="1" customWidth="1"/>
    <col min="4" max="4" width="12.6640625" customWidth="1"/>
    <col min="6" max="6" width="8.109375" customWidth="1"/>
    <col min="7" max="7" width="14.109375" customWidth="1"/>
    <col min="8" max="8" width="12" customWidth="1"/>
    <col min="9" max="9" width="10.33203125" customWidth="1"/>
    <col min="10" max="10" width="10" customWidth="1"/>
    <col min="11" max="11" width="12.6640625" customWidth="1"/>
    <col min="12" max="12" width="14.21875" customWidth="1"/>
    <col min="13" max="13" width="10.21875" customWidth="1"/>
    <col min="15" max="15" width="7.21875" customWidth="1"/>
    <col min="16" max="16" width="10.88671875" customWidth="1"/>
    <col min="17" max="19" width="16.6640625" customWidth="1"/>
    <col min="20" max="20" width="14.109375" bestFit="1" customWidth="1"/>
  </cols>
  <sheetData>
    <row r="6" spans="3:20" ht="25.8" x14ac:dyDescent="0.5">
      <c r="G6" s="58" t="s">
        <v>4</v>
      </c>
      <c r="H6" s="58"/>
      <c r="I6" s="58"/>
      <c r="J6" s="58"/>
      <c r="K6" s="58"/>
      <c r="L6" s="58"/>
      <c r="M6" s="58"/>
      <c r="P6" s="59" t="s">
        <v>44</v>
      </c>
      <c r="Q6" s="60"/>
      <c r="R6" s="60"/>
      <c r="S6" s="60"/>
      <c r="T6" s="60"/>
    </row>
    <row r="7" spans="3:20" x14ac:dyDescent="0.3">
      <c r="K7" s="4"/>
    </row>
    <row r="8" spans="3:20" ht="15.6" x14ac:dyDescent="0.3">
      <c r="C8" s="57" t="s">
        <v>1</v>
      </c>
      <c r="D8" s="55" t="s">
        <v>3</v>
      </c>
      <c r="G8" s="34" t="s">
        <v>0</v>
      </c>
      <c r="H8" s="35" t="s">
        <v>1</v>
      </c>
      <c r="I8" s="36" t="s">
        <v>5</v>
      </c>
      <c r="J8" s="36" t="s">
        <v>23</v>
      </c>
      <c r="K8" s="36" t="s">
        <v>43</v>
      </c>
      <c r="L8" s="37" t="s">
        <v>2</v>
      </c>
      <c r="M8" s="38" t="s">
        <v>3</v>
      </c>
      <c r="P8" s="52" t="s">
        <v>0</v>
      </c>
      <c r="Q8" s="53" t="s">
        <v>45</v>
      </c>
      <c r="R8" s="53" t="s">
        <v>46</v>
      </c>
      <c r="S8" s="53" t="s">
        <v>47</v>
      </c>
      <c r="T8" s="54" t="s">
        <v>2</v>
      </c>
    </row>
    <row r="9" spans="3:20" x14ac:dyDescent="0.3">
      <c r="C9" s="5" t="s">
        <v>5</v>
      </c>
      <c r="D9" s="56" t="s">
        <v>64</v>
      </c>
      <c r="G9" s="28" t="s">
        <v>7</v>
      </c>
      <c r="H9" s="5" t="s">
        <v>5</v>
      </c>
      <c r="I9" s="6">
        <v>5000</v>
      </c>
      <c r="J9" s="6">
        <f t="shared" ref="J9:J35" si="0">I9*0.14</f>
        <v>700.00000000000011</v>
      </c>
      <c r="K9" s="18">
        <f>I9-J9</f>
        <v>4300</v>
      </c>
      <c r="L9" s="1" t="s">
        <v>6</v>
      </c>
      <c r="M9" s="33">
        <v>43965</v>
      </c>
      <c r="P9" s="46" t="s">
        <v>7</v>
      </c>
      <c r="Q9" s="2">
        <f>SUMIFS(K9:K35,G9:G35,P9,H9:H35,"fatura")-SUMIFS(K9:K35,G9:G35,P9,H9:H35,"dönüş")-SUMIFS(K9:K35,G9:G35,P9,H9:H35,"indrim")</f>
        <v>1720</v>
      </c>
      <c r="R9" s="2" t="str">
        <f>IF(Q9&gt;10000,"önemli bir müşteri",IF(Q9&gt;3000,"güçlü bir müşteri","normal bir müşteri"))</f>
        <v>normal bir müşteri</v>
      </c>
      <c r="S9" s="20">
        <f>Q9/SUM(Q9:Q19)</f>
        <v>7.8616352201257858E-2</v>
      </c>
      <c r="T9" s="30" t="str">
        <f>VLOOKUP(P9,database!B6:C16,2,FALSE)</f>
        <v>istanbul</v>
      </c>
    </row>
    <row r="10" spans="3:20" x14ac:dyDescent="0.3">
      <c r="G10" s="29" t="s">
        <v>8</v>
      </c>
      <c r="H10" s="9" t="s">
        <v>5</v>
      </c>
      <c r="I10" s="10">
        <v>2000</v>
      </c>
      <c r="J10" s="10">
        <f t="shared" si="0"/>
        <v>280</v>
      </c>
      <c r="K10" s="18">
        <f t="shared" ref="K10:K30" si="1">I10-J10</f>
        <v>1720</v>
      </c>
      <c r="L10" s="9" t="s">
        <v>25</v>
      </c>
      <c r="M10" s="33">
        <v>43966</v>
      </c>
      <c r="P10" s="50" t="s">
        <v>8</v>
      </c>
      <c r="Q10" s="2">
        <f t="shared" ref="Q10:Q19" si="2">SUMIFS(K10:K37,G10:G37,P10,H10:H37,"fatura")-SUMIFS(K10:K37,G10:G37,P10,H10:H37,"dönüş")-SUMIFS(K10:K37,G10:G37,P10,H10:H37,"indrim")</f>
        <v>258</v>
      </c>
      <c r="R10" s="2" t="str">
        <f t="shared" ref="R10:R19" si="3">IF(Q10&gt;10000,"önemli bir müşteri",IF(Q10&gt;3000,"güçlü bir müşteri","normal bir müşteri"))</f>
        <v>normal bir müşteri</v>
      </c>
      <c r="S10" s="20">
        <f t="shared" ref="S10:S19" si="4">Q10/SUM(Q10:Q20)</f>
        <v>1.2798634812286689E-2</v>
      </c>
      <c r="T10" s="30" t="str">
        <f>VLOOKUP(P10,database!B7:C17,2,FALSE)</f>
        <v>tekirdağ</v>
      </c>
    </row>
    <row r="11" spans="3:20" x14ac:dyDescent="0.3">
      <c r="G11" s="30" t="s">
        <v>9</v>
      </c>
      <c r="H11" s="1" t="s">
        <v>5</v>
      </c>
      <c r="I11" s="2">
        <v>1000</v>
      </c>
      <c r="J11" s="2">
        <f t="shared" si="0"/>
        <v>140</v>
      </c>
      <c r="K11" s="18">
        <f t="shared" si="1"/>
        <v>860</v>
      </c>
      <c r="L11" s="1" t="s">
        <v>26</v>
      </c>
      <c r="M11" s="33">
        <v>43967</v>
      </c>
      <c r="P11" s="51" t="s">
        <v>9</v>
      </c>
      <c r="Q11" s="2">
        <f t="shared" si="2"/>
        <v>860</v>
      </c>
      <c r="R11" s="2" t="str">
        <f t="shared" si="3"/>
        <v>normal bir müşteri</v>
      </c>
      <c r="S11" s="20">
        <f t="shared" si="4"/>
        <v>4.3215211754537596E-2</v>
      </c>
      <c r="T11" s="30" t="str">
        <f>VLOOKUP(P11,database!B8:C18,2,FALSE)</f>
        <v>isparta</v>
      </c>
    </row>
    <row r="12" spans="3:20" x14ac:dyDescent="0.3">
      <c r="G12" s="30" t="s">
        <v>10</v>
      </c>
      <c r="H12" s="1" t="s">
        <v>5</v>
      </c>
      <c r="I12" s="2">
        <v>3000</v>
      </c>
      <c r="J12" s="2">
        <f t="shared" si="0"/>
        <v>420.00000000000006</v>
      </c>
      <c r="K12" s="18">
        <f t="shared" si="1"/>
        <v>2580</v>
      </c>
      <c r="L12" s="1" t="s">
        <v>27</v>
      </c>
      <c r="M12" s="33">
        <v>43968</v>
      </c>
      <c r="P12" s="51" t="s">
        <v>10</v>
      </c>
      <c r="Q12" s="2">
        <f t="shared" si="2"/>
        <v>1806</v>
      </c>
      <c r="R12" s="2" t="str">
        <f t="shared" si="3"/>
        <v>normal bir müşteri</v>
      </c>
      <c r="S12" s="20">
        <f t="shared" si="4"/>
        <v>9.4850948509485083E-2</v>
      </c>
      <c r="T12" s="30" t="str">
        <f>VLOOKUP(P12,database!B9:C19,2,FALSE)</f>
        <v>bursa</v>
      </c>
    </row>
    <row r="13" spans="3:20" x14ac:dyDescent="0.3">
      <c r="G13" s="30" t="s">
        <v>11</v>
      </c>
      <c r="H13" s="1" t="s">
        <v>5</v>
      </c>
      <c r="I13" s="2">
        <v>300</v>
      </c>
      <c r="J13" s="2">
        <f t="shared" si="0"/>
        <v>42.000000000000007</v>
      </c>
      <c r="K13" s="18">
        <f t="shared" si="1"/>
        <v>258</v>
      </c>
      <c r="L13" s="1" t="s">
        <v>28</v>
      </c>
      <c r="M13" s="33">
        <v>43969</v>
      </c>
      <c r="P13" s="51" t="s">
        <v>11</v>
      </c>
      <c r="Q13" s="2">
        <f t="shared" si="2"/>
        <v>2365</v>
      </c>
      <c r="R13" s="2" t="str">
        <f t="shared" si="3"/>
        <v>normal bir müşteri</v>
      </c>
      <c r="S13" s="20">
        <f t="shared" si="4"/>
        <v>0.1372255489021956</v>
      </c>
      <c r="T13" s="30" t="str">
        <f>VLOOKUP(P13,database!B10:C20,2,FALSE)</f>
        <v>siirt</v>
      </c>
    </row>
    <row r="14" spans="3:20" x14ac:dyDescent="0.3">
      <c r="G14" s="30" t="s">
        <v>12</v>
      </c>
      <c r="H14" s="1" t="s">
        <v>5</v>
      </c>
      <c r="I14" s="2">
        <v>4000</v>
      </c>
      <c r="J14" s="2">
        <f t="shared" si="0"/>
        <v>560</v>
      </c>
      <c r="K14" s="18">
        <f t="shared" si="1"/>
        <v>3440</v>
      </c>
      <c r="L14" s="1" t="s">
        <v>29</v>
      </c>
      <c r="M14" s="33">
        <v>43970</v>
      </c>
      <c r="P14" s="51" t="s">
        <v>12</v>
      </c>
      <c r="Q14" s="2">
        <f t="shared" si="2"/>
        <v>3440</v>
      </c>
      <c r="R14" s="2" t="str">
        <f t="shared" si="3"/>
        <v>güçlü bir müşteri</v>
      </c>
      <c r="S14" s="20">
        <f t="shared" si="4"/>
        <v>0.23134759976865241</v>
      </c>
      <c r="T14" s="30" t="str">
        <f>VLOOKUP(P14,database!B11:C21,2,FALSE)</f>
        <v>malatya</v>
      </c>
    </row>
    <row r="15" spans="3:20" x14ac:dyDescent="0.3">
      <c r="G15" s="30" t="s">
        <v>7</v>
      </c>
      <c r="H15" s="1" t="s">
        <v>42</v>
      </c>
      <c r="I15" s="2">
        <v>500</v>
      </c>
      <c r="J15" s="2">
        <f t="shared" si="0"/>
        <v>70</v>
      </c>
      <c r="K15" s="18">
        <f t="shared" si="1"/>
        <v>430</v>
      </c>
      <c r="L15" s="1" t="s">
        <v>6</v>
      </c>
      <c r="M15" s="33">
        <v>43971</v>
      </c>
      <c r="P15" s="51" t="s">
        <v>13</v>
      </c>
      <c r="Q15" s="2">
        <f t="shared" si="2"/>
        <v>4730</v>
      </c>
      <c r="R15" s="2" t="str">
        <f t="shared" si="3"/>
        <v>güçlü bir müşteri</v>
      </c>
      <c r="S15" s="20">
        <f t="shared" si="4"/>
        <v>0.41384499623777277</v>
      </c>
      <c r="T15" s="30" t="str">
        <f>VLOOKUP(P15,database!B12:C22,2,FALSE)</f>
        <v>gaziosmanpaşa</v>
      </c>
    </row>
    <row r="16" spans="3:20" x14ac:dyDescent="0.3">
      <c r="G16" s="30" t="s">
        <v>8</v>
      </c>
      <c r="H16" s="1" t="s">
        <v>5</v>
      </c>
      <c r="I16" s="2">
        <v>600</v>
      </c>
      <c r="J16" s="2">
        <f t="shared" si="0"/>
        <v>84.000000000000014</v>
      </c>
      <c r="K16" s="18">
        <f t="shared" si="1"/>
        <v>516</v>
      </c>
      <c r="L16" s="1" t="s">
        <v>25</v>
      </c>
      <c r="M16" s="33">
        <v>43972</v>
      </c>
      <c r="P16" s="51" t="s">
        <v>14</v>
      </c>
      <c r="Q16" s="2">
        <f t="shared" si="2"/>
        <v>6020</v>
      </c>
      <c r="R16" s="2" t="str">
        <f t="shared" si="3"/>
        <v>güçlü bir müşteri</v>
      </c>
      <c r="S16" s="20">
        <f t="shared" si="4"/>
        <v>0.89858793324775355</v>
      </c>
      <c r="T16" s="30" t="str">
        <f>VLOOKUP(P16,database!B13:C23,2,FALSE)</f>
        <v>aksaray</v>
      </c>
    </row>
    <row r="17" spans="7:20" x14ac:dyDescent="0.3">
      <c r="G17" s="30" t="s">
        <v>11</v>
      </c>
      <c r="H17" s="1" t="s">
        <v>5</v>
      </c>
      <c r="I17" s="2">
        <v>2000</v>
      </c>
      <c r="J17" s="2">
        <f t="shared" si="0"/>
        <v>280</v>
      </c>
      <c r="K17" s="18">
        <f t="shared" si="1"/>
        <v>1720</v>
      </c>
      <c r="L17" s="1" t="s">
        <v>28</v>
      </c>
      <c r="M17" s="33">
        <v>43973</v>
      </c>
      <c r="P17" s="51" t="s">
        <v>15</v>
      </c>
      <c r="Q17" s="2">
        <f t="shared" si="2"/>
        <v>1591</v>
      </c>
      <c r="R17" s="2" t="str">
        <f t="shared" si="3"/>
        <v>normal bir müşteri</v>
      </c>
      <c r="S17" s="20">
        <f t="shared" si="4"/>
        <v>2.3417721518987342</v>
      </c>
      <c r="T17" s="30" t="str">
        <f>VLOOKUP(P17,database!B14:C24,2,FALSE)</f>
        <v>manisa</v>
      </c>
    </row>
    <row r="18" spans="7:20" x14ac:dyDescent="0.3">
      <c r="G18" s="30" t="s">
        <v>13</v>
      </c>
      <c r="H18" s="1" t="s">
        <v>5</v>
      </c>
      <c r="I18" s="2">
        <v>6000</v>
      </c>
      <c r="J18" s="2">
        <f t="shared" si="0"/>
        <v>840.00000000000011</v>
      </c>
      <c r="K18" s="18">
        <f t="shared" si="1"/>
        <v>5160</v>
      </c>
      <c r="L18" s="1" t="s">
        <v>30</v>
      </c>
      <c r="M18" s="33">
        <v>43974</v>
      </c>
      <c r="P18" s="51" t="s">
        <v>16</v>
      </c>
      <c r="Q18" s="2">
        <f t="shared" si="2"/>
        <v>0</v>
      </c>
      <c r="R18" s="2" t="str">
        <f t="shared" si="3"/>
        <v>normal bir müşteri</v>
      </c>
      <c r="S18" s="20">
        <f t="shared" si="4"/>
        <v>0</v>
      </c>
      <c r="T18" s="30" t="str">
        <f>VLOOKUP(P18,database!B15:C25,2,FALSE)</f>
        <v>alanya</v>
      </c>
    </row>
    <row r="19" spans="7:20" x14ac:dyDescent="0.3">
      <c r="G19" s="30" t="s">
        <v>14</v>
      </c>
      <c r="H19" s="1" t="s">
        <v>5</v>
      </c>
      <c r="I19" s="2">
        <v>7000</v>
      </c>
      <c r="J19" s="2">
        <f t="shared" si="0"/>
        <v>980.00000000000011</v>
      </c>
      <c r="K19" s="18">
        <f t="shared" si="1"/>
        <v>6020</v>
      </c>
      <c r="L19" s="1" t="s">
        <v>31</v>
      </c>
      <c r="M19" s="33">
        <v>43975</v>
      </c>
      <c r="P19" s="51" t="s">
        <v>17</v>
      </c>
      <c r="Q19" s="2">
        <f t="shared" si="2"/>
        <v>-911.6</v>
      </c>
      <c r="R19" s="2" t="str">
        <f t="shared" si="3"/>
        <v>normal bir müşteri</v>
      </c>
      <c r="S19" s="20">
        <f t="shared" si="4"/>
        <v>1</v>
      </c>
      <c r="T19" s="30" t="str">
        <f>VLOOKUP(P19,database!B16:C26,2,FALSE)</f>
        <v>iğdir</v>
      </c>
    </row>
    <row r="20" spans="7:20" x14ac:dyDescent="0.3">
      <c r="G20" s="31" t="s">
        <v>15</v>
      </c>
      <c r="H20" s="11" t="s">
        <v>5</v>
      </c>
      <c r="I20" s="12">
        <v>1500</v>
      </c>
      <c r="J20" s="12">
        <f t="shared" si="0"/>
        <v>210.00000000000003</v>
      </c>
      <c r="K20" s="18">
        <f t="shared" si="1"/>
        <v>1290</v>
      </c>
      <c r="L20" s="1" t="s">
        <v>32</v>
      </c>
      <c r="M20" s="33">
        <v>43976</v>
      </c>
      <c r="P20" s="51"/>
      <c r="Q20" s="1"/>
      <c r="R20" s="1"/>
      <c r="S20" s="1"/>
      <c r="T20" s="30"/>
    </row>
    <row r="21" spans="7:20" x14ac:dyDescent="0.3">
      <c r="G21" s="30" t="s">
        <v>16</v>
      </c>
      <c r="H21" s="1" t="s">
        <v>42</v>
      </c>
      <c r="I21" s="2">
        <v>1000</v>
      </c>
      <c r="J21" s="2">
        <f t="shared" si="0"/>
        <v>140</v>
      </c>
      <c r="K21" s="18">
        <f t="shared" si="1"/>
        <v>860</v>
      </c>
      <c r="L21" s="1" t="s">
        <v>33</v>
      </c>
      <c r="M21" s="33">
        <v>43977</v>
      </c>
      <c r="P21" s="51"/>
      <c r="Q21" s="1"/>
      <c r="R21" s="1"/>
      <c r="S21" s="1"/>
      <c r="T21" s="30"/>
    </row>
    <row r="22" spans="7:20" x14ac:dyDescent="0.3">
      <c r="G22" s="32" t="s">
        <v>13</v>
      </c>
      <c r="H22" s="7" t="s">
        <v>24</v>
      </c>
      <c r="I22" s="8">
        <v>500</v>
      </c>
      <c r="J22" s="8">
        <f t="shared" si="0"/>
        <v>70</v>
      </c>
      <c r="K22" s="18">
        <f t="shared" si="1"/>
        <v>430</v>
      </c>
      <c r="L22" s="1" t="s">
        <v>30</v>
      </c>
      <c r="M22" s="33">
        <v>43978</v>
      </c>
      <c r="P22" s="51"/>
      <c r="Q22" s="1"/>
      <c r="R22" s="1"/>
      <c r="S22" s="1"/>
      <c r="T22" s="30"/>
    </row>
    <row r="23" spans="7:20" x14ac:dyDescent="0.3">
      <c r="G23" s="30" t="s">
        <v>17</v>
      </c>
      <c r="H23" s="1" t="s">
        <v>24</v>
      </c>
      <c r="I23" s="2">
        <v>400</v>
      </c>
      <c r="J23" s="2">
        <f t="shared" si="0"/>
        <v>56.000000000000007</v>
      </c>
      <c r="K23" s="18">
        <f t="shared" si="1"/>
        <v>344</v>
      </c>
      <c r="L23" s="1" t="s">
        <v>34</v>
      </c>
      <c r="M23" s="33">
        <v>43979</v>
      </c>
      <c r="P23" s="51"/>
      <c r="Q23" s="1"/>
      <c r="R23" s="1"/>
      <c r="S23" s="1"/>
      <c r="T23" s="30"/>
    </row>
    <row r="24" spans="7:20" x14ac:dyDescent="0.3">
      <c r="G24" s="30" t="s">
        <v>18</v>
      </c>
      <c r="H24" s="1" t="s">
        <v>42</v>
      </c>
      <c r="I24" s="2">
        <v>2000</v>
      </c>
      <c r="J24" s="2">
        <f t="shared" si="0"/>
        <v>280</v>
      </c>
      <c r="K24" s="18">
        <f t="shared" si="1"/>
        <v>1720</v>
      </c>
      <c r="L24" s="1" t="s">
        <v>35</v>
      </c>
      <c r="M24" s="33">
        <v>43980</v>
      </c>
      <c r="P24" s="44"/>
      <c r="Q24" s="47"/>
      <c r="R24" s="47"/>
      <c r="S24" s="47"/>
      <c r="T24" s="45"/>
    </row>
    <row r="25" spans="7:20" x14ac:dyDescent="0.3">
      <c r="G25" s="30" t="s">
        <v>7</v>
      </c>
      <c r="H25" s="1" t="s">
        <v>42</v>
      </c>
      <c r="I25" s="2">
        <v>2500</v>
      </c>
      <c r="J25" s="2">
        <f t="shared" si="0"/>
        <v>350.00000000000006</v>
      </c>
      <c r="K25" s="18">
        <f t="shared" si="1"/>
        <v>2150</v>
      </c>
      <c r="L25" s="1" t="s">
        <v>6</v>
      </c>
      <c r="M25" s="33">
        <v>43981</v>
      </c>
    </row>
    <row r="26" spans="7:20" x14ac:dyDescent="0.3">
      <c r="G26" s="30" t="s">
        <v>19</v>
      </c>
      <c r="H26" s="1" t="s">
        <v>24</v>
      </c>
      <c r="I26" s="2">
        <v>300</v>
      </c>
      <c r="J26" s="2">
        <f t="shared" si="0"/>
        <v>42.000000000000007</v>
      </c>
      <c r="K26" s="18">
        <f t="shared" si="1"/>
        <v>258</v>
      </c>
      <c r="L26" s="1" t="s">
        <v>36</v>
      </c>
      <c r="M26" s="33">
        <v>43982</v>
      </c>
    </row>
    <row r="27" spans="7:20" x14ac:dyDescent="0.3">
      <c r="G27" s="30" t="s">
        <v>17</v>
      </c>
      <c r="H27" s="1" t="s">
        <v>24</v>
      </c>
      <c r="I27" s="2">
        <v>660</v>
      </c>
      <c r="J27" s="2">
        <f t="shared" si="0"/>
        <v>92.4</v>
      </c>
      <c r="K27" s="18">
        <f>I27-J27</f>
        <v>567.6</v>
      </c>
      <c r="L27" s="1" t="s">
        <v>37</v>
      </c>
      <c r="M27" s="33">
        <v>43983</v>
      </c>
    </row>
    <row r="28" spans="7:20" x14ac:dyDescent="0.3">
      <c r="G28" s="30" t="s">
        <v>20</v>
      </c>
      <c r="H28" s="1" t="s">
        <v>24</v>
      </c>
      <c r="I28" s="2">
        <v>550</v>
      </c>
      <c r="J28" s="2">
        <f t="shared" si="0"/>
        <v>77.000000000000014</v>
      </c>
      <c r="K28" s="18">
        <f t="shared" si="1"/>
        <v>473</v>
      </c>
      <c r="L28" s="1" t="s">
        <v>38</v>
      </c>
      <c r="M28" s="33">
        <v>43984</v>
      </c>
    </row>
    <row r="29" spans="7:20" x14ac:dyDescent="0.3">
      <c r="G29" s="30" t="s">
        <v>21</v>
      </c>
      <c r="H29" s="1" t="s">
        <v>42</v>
      </c>
      <c r="I29" s="2">
        <v>800</v>
      </c>
      <c r="J29" s="2">
        <f t="shared" si="0"/>
        <v>112.00000000000001</v>
      </c>
      <c r="K29" s="18">
        <f t="shared" si="1"/>
        <v>688</v>
      </c>
      <c r="L29" s="1" t="s">
        <v>39</v>
      </c>
      <c r="M29" s="33">
        <v>43985</v>
      </c>
    </row>
    <row r="30" spans="7:20" x14ac:dyDescent="0.3">
      <c r="G30" s="30" t="s">
        <v>10</v>
      </c>
      <c r="H30" s="1" t="s">
        <v>42</v>
      </c>
      <c r="I30" s="2">
        <v>900</v>
      </c>
      <c r="J30" s="2">
        <f t="shared" si="0"/>
        <v>126.00000000000001</v>
      </c>
      <c r="K30" s="18">
        <f t="shared" si="1"/>
        <v>774</v>
      </c>
      <c r="L30" s="1" t="s">
        <v>27</v>
      </c>
      <c r="M30" s="33">
        <v>43986</v>
      </c>
    </row>
    <row r="31" spans="7:20" x14ac:dyDescent="0.3">
      <c r="G31" s="30" t="s">
        <v>16</v>
      </c>
      <c r="H31" s="1" t="s">
        <v>42</v>
      </c>
      <c r="I31" s="2">
        <v>1000</v>
      </c>
      <c r="J31" s="2">
        <f t="shared" si="0"/>
        <v>140</v>
      </c>
      <c r="K31" s="18">
        <f>-(I31-J31)</f>
        <v>-860</v>
      </c>
      <c r="L31" s="1" t="s">
        <v>33</v>
      </c>
      <c r="M31" s="33">
        <v>43987</v>
      </c>
    </row>
    <row r="32" spans="7:20" x14ac:dyDescent="0.3">
      <c r="G32" s="30" t="s">
        <v>11</v>
      </c>
      <c r="H32" s="1" t="s">
        <v>24</v>
      </c>
      <c r="I32" s="2">
        <v>450</v>
      </c>
      <c r="J32" s="2">
        <f t="shared" si="0"/>
        <v>63.000000000000007</v>
      </c>
      <c r="K32" s="18">
        <f t="shared" ref="K32:K35" si="5">-(I32-J32)</f>
        <v>-387</v>
      </c>
      <c r="L32" s="1" t="s">
        <v>28</v>
      </c>
      <c r="M32" s="33">
        <v>43988</v>
      </c>
    </row>
    <row r="33" spans="6:13" x14ac:dyDescent="0.3">
      <c r="G33" s="30" t="s">
        <v>15</v>
      </c>
      <c r="H33" s="1" t="s">
        <v>24</v>
      </c>
      <c r="I33" s="2">
        <v>350</v>
      </c>
      <c r="J33" s="2">
        <f t="shared" si="0"/>
        <v>49.000000000000007</v>
      </c>
      <c r="K33" s="18">
        <f t="shared" si="5"/>
        <v>-301</v>
      </c>
      <c r="L33" s="1" t="s">
        <v>32</v>
      </c>
      <c r="M33" s="33">
        <v>43989</v>
      </c>
    </row>
    <row r="34" spans="6:13" x14ac:dyDescent="0.3">
      <c r="G34" s="32" t="s">
        <v>8</v>
      </c>
      <c r="H34" s="7" t="s">
        <v>5</v>
      </c>
      <c r="I34" s="8">
        <v>2300</v>
      </c>
      <c r="J34" s="8">
        <f t="shared" si="0"/>
        <v>322.00000000000006</v>
      </c>
      <c r="K34" s="18">
        <f t="shared" si="5"/>
        <v>-1978</v>
      </c>
      <c r="L34" s="7" t="s">
        <v>25</v>
      </c>
      <c r="M34" s="33">
        <v>43990</v>
      </c>
    </row>
    <row r="35" spans="6:13" x14ac:dyDescent="0.3">
      <c r="G35" s="39" t="s">
        <v>22</v>
      </c>
      <c r="H35" s="40" t="s">
        <v>5</v>
      </c>
      <c r="I35" s="41">
        <v>2400</v>
      </c>
      <c r="J35" s="41">
        <f t="shared" si="0"/>
        <v>336.00000000000006</v>
      </c>
      <c r="K35" s="42">
        <f t="shared" si="5"/>
        <v>-2064</v>
      </c>
      <c r="L35" s="40" t="s">
        <v>40</v>
      </c>
      <c r="M35" s="43">
        <v>43991</v>
      </c>
    </row>
    <row r="36" spans="6:13" x14ac:dyDescent="0.3">
      <c r="F36" t="s">
        <v>41</v>
      </c>
      <c r="G36" s="45" t="s">
        <v>61</v>
      </c>
      <c r="H36" s="47"/>
      <c r="I36" s="47"/>
      <c r="J36" s="47"/>
      <c r="K36" s="48"/>
      <c r="L36" s="47"/>
      <c r="M36" s="49">
        <f>SUBTOTAL(103,AnaTablo[tarih])</f>
        <v>27</v>
      </c>
    </row>
    <row r="37" spans="6:13" x14ac:dyDescent="0.3">
      <c r="G37" s="14">
        <f>COUNTA(G9:G35)</f>
        <v>27</v>
      </c>
      <c r="I37" s="13">
        <f>SUMIFS(I9:I35, H9:H35,"fatura", L9:L35,"adana")</f>
        <v>2400</v>
      </c>
      <c r="J37" s="3"/>
      <c r="K37" s="19">
        <f>SUBTOTAL(109,K9:K35)</f>
        <v>30968.6</v>
      </c>
    </row>
  </sheetData>
  <mergeCells count="2">
    <mergeCell ref="G6:M6"/>
    <mergeCell ref="P6:T6"/>
  </mergeCells>
  <conditionalFormatting sqref="Q9:Q19">
    <cfRule type="aboveAverage" dxfId="10" priority="5"/>
    <cfRule type="top10" dxfId="9" priority="6" percent="1" bottom="1" rank="10"/>
    <cfRule type="top10" dxfId="8" priority="7" percent="1" rank="10"/>
  </conditionalFormatting>
  <conditionalFormatting sqref="R9:R19">
    <cfRule type="cellIs" dxfId="7" priority="8" operator="equal">
      <formula>"güçlü bir müşteri"</formula>
    </cfRule>
  </conditionalFormatting>
  <conditionalFormatting sqref="S9:S19">
    <cfRule type="iconSet" priority="1">
      <iconSet iconSet="3Arrows">
        <cfvo type="percent" val="0"/>
        <cfvo type="percent" val="33"/>
        <cfvo type="percent" val="67"/>
      </iconSet>
    </cfRule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{49BE7A4E-010B-44B5-8963-F870E3C192FF}</x14:id>
        </ext>
      </extLst>
    </cfRule>
  </conditionalFormatting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9BE7A4E-010B-44B5-8963-F870E3C192F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S9:S19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556DE-B859-4607-AE6A-AB7958116588}">
  <sheetPr>
    <tabColor rgb="FFFFC000"/>
  </sheetPr>
  <dimension ref="B4:Q17"/>
  <sheetViews>
    <sheetView rightToLeft="1" zoomScale="98" zoomScaleNormal="98" workbookViewId="0">
      <selection activeCell="B6" sqref="B6"/>
    </sheetView>
  </sheetViews>
  <sheetFormatPr defaultRowHeight="14.4" x14ac:dyDescent="0.3"/>
  <cols>
    <col min="1" max="1" width="12.33203125" customWidth="1"/>
    <col min="2" max="2" width="10.44140625" bestFit="1" customWidth="1"/>
    <col min="3" max="3" width="11" bestFit="1" customWidth="1"/>
    <col min="5" max="5" width="11" customWidth="1"/>
    <col min="6" max="6" width="10.77734375" customWidth="1"/>
    <col min="7" max="7" width="12.44140625" bestFit="1" customWidth="1"/>
    <col min="11" max="11" width="11" customWidth="1"/>
    <col min="12" max="12" width="11.33203125" customWidth="1"/>
    <col min="16" max="16" width="12.44140625" bestFit="1" customWidth="1"/>
    <col min="17" max="17" width="10.44140625" bestFit="1" customWidth="1"/>
  </cols>
  <sheetData>
    <row r="4" spans="2:17" ht="15.6" x14ac:dyDescent="0.3">
      <c r="B4" s="36" t="s">
        <v>43</v>
      </c>
      <c r="C4" s="37" t="s">
        <v>2</v>
      </c>
      <c r="G4" s="34" t="s">
        <v>0</v>
      </c>
      <c r="H4" s="35" t="s">
        <v>1</v>
      </c>
      <c r="I4" s="36" t="s">
        <v>5</v>
      </c>
      <c r="J4" s="36" t="s">
        <v>23</v>
      </c>
      <c r="K4" s="36" t="s">
        <v>43</v>
      </c>
      <c r="L4" s="37" t="s">
        <v>2</v>
      </c>
      <c r="M4" s="38" t="s">
        <v>3</v>
      </c>
      <c r="P4" s="57" t="s">
        <v>0</v>
      </c>
      <c r="Q4" s="57" t="s">
        <v>1</v>
      </c>
    </row>
    <row r="5" spans="2:17" x14ac:dyDescent="0.3">
      <c r="B5" s="18">
        <v>4300</v>
      </c>
      <c r="C5" s="1" t="s">
        <v>6</v>
      </c>
      <c r="G5" s="28" t="s">
        <v>7</v>
      </c>
      <c r="H5" s="5" t="s">
        <v>5</v>
      </c>
      <c r="I5" s="6">
        <v>5000</v>
      </c>
      <c r="J5" s="6">
        <v>700.00000000000011</v>
      </c>
      <c r="K5" s="18">
        <v>4300</v>
      </c>
      <c r="L5" s="1" t="s">
        <v>6</v>
      </c>
      <c r="M5" s="33">
        <v>43965</v>
      </c>
      <c r="P5" s="28" t="s">
        <v>7</v>
      </c>
      <c r="Q5" s="5" t="s">
        <v>5</v>
      </c>
    </row>
    <row r="6" spans="2:17" x14ac:dyDescent="0.3">
      <c r="B6" s="18">
        <v>1720</v>
      </c>
      <c r="C6" s="9" t="s">
        <v>25</v>
      </c>
      <c r="G6" s="29" t="s">
        <v>8</v>
      </c>
      <c r="H6" s="9" t="s">
        <v>5</v>
      </c>
      <c r="I6" s="10">
        <v>2000</v>
      </c>
      <c r="J6" s="10">
        <v>280</v>
      </c>
      <c r="K6" s="18">
        <v>1720</v>
      </c>
      <c r="L6" s="9" t="s">
        <v>25</v>
      </c>
      <c r="M6" s="33">
        <v>43966</v>
      </c>
      <c r="P6" s="29" t="s">
        <v>8</v>
      </c>
      <c r="Q6" s="9" t="s">
        <v>5</v>
      </c>
    </row>
    <row r="7" spans="2:17" x14ac:dyDescent="0.3">
      <c r="B7" s="18">
        <v>860</v>
      </c>
      <c r="C7" s="1" t="s">
        <v>26</v>
      </c>
      <c r="G7" s="30" t="s">
        <v>9</v>
      </c>
      <c r="H7" s="1" t="s">
        <v>5</v>
      </c>
      <c r="I7" s="2">
        <v>1000</v>
      </c>
      <c r="J7" s="2">
        <v>140</v>
      </c>
      <c r="K7" s="18">
        <v>860</v>
      </c>
      <c r="L7" s="1" t="s">
        <v>26</v>
      </c>
      <c r="M7" s="33">
        <v>43967</v>
      </c>
      <c r="P7" s="30" t="s">
        <v>9</v>
      </c>
      <c r="Q7" s="1" t="s">
        <v>5</v>
      </c>
    </row>
    <row r="8" spans="2:17" x14ac:dyDescent="0.3">
      <c r="B8" s="18">
        <v>2580</v>
      </c>
      <c r="C8" s="1" t="s">
        <v>27</v>
      </c>
      <c r="G8" s="30" t="s">
        <v>10</v>
      </c>
      <c r="H8" s="1" t="s">
        <v>5</v>
      </c>
      <c r="I8" s="2">
        <v>3000</v>
      </c>
      <c r="J8" s="2">
        <v>420.00000000000006</v>
      </c>
      <c r="K8" s="18">
        <v>2580</v>
      </c>
      <c r="L8" s="1" t="s">
        <v>27</v>
      </c>
      <c r="M8" s="33">
        <v>43968</v>
      </c>
      <c r="P8" s="30" t="s">
        <v>10</v>
      </c>
      <c r="Q8" s="1" t="s">
        <v>5</v>
      </c>
    </row>
    <row r="9" spans="2:17" x14ac:dyDescent="0.3">
      <c r="B9" s="18">
        <v>258</v>
      </c>
      <c r="C9" s="1" t="s">
        <v>28</v>
      </c>
      <c r="G9" s="30" t="s">
        <v>11</v>
      </c>
      <c r="H9" s="1" t="s">
        <v>5</v>
      </c>
      <c r="I9" s="2">
        <v>300</v>
      </c>
      <c r="J9" s="2">
        <v>42.000000000000007</v>
      </c>
      <c r="K9" s="18">
        <v>258</v>
      </c>
      <c r="L9" s="1" t="s">
        <v>28</v>
      </c>
      <c r="M9" s="33">
        <v>43969</v>
      </c>
      <c r="P9" s="30" t="s">
        <v>11</v>
      </c>
      <c r="Q9" s="1" t="s">
        <v>5</v>
      </c>
    </row>
    <row r="10" spans="2:17" x14ac:dyDescent="0.3">
      <c r="B10" s="18">
        <v>3440</v>
      </c>
      <c r="C10" s="1" t="s">
        <v>29</v>
      </c>
      <c r="G10" s="30" t="s">
        <v>12</v>
      </c>
      <c r="H10" s="1" t="s">
        <v>5</v>
      </c>
      <c r="I10" s="2">
        <v>4000</v>
      </c>
      <c r="J10" s="2">
        <v>560</v>
      </c>
      <c r="K10" s="18">
        <v>3440</v>
      </c>
      <c r="L10" s="1" t="s">
        <v>29</v>
      </c>
      <c r="M10" s="33">
        <v>43970</v>
      </c>
      <c r="P10" s="30" t="s">
        <v>12</v>
      </c>
      <c r="Q10" s="1" t="s">
        <v>5</v>
      </c>
    </row>
    <row r="11" spans="2:17" x14ac:dyDescent="0.3">
      <c r="B11" s="18">
        <v>516</v>
      </c>
      <c r="C11" s="1" t="s">
        <v>25</v>
      </c>
      <c r="G11" s="30" t="s">
        <v>8</v>
      </c>
      <c r="H11" s="1" t="s">
        <v>5</v>
      </c>
      <c r="I11" s="2">
        <v>600</v>
      </c>
      <c r="J11" s="2">
        <v>84.000000000000014</v>
      </c>
      <c r="K11" s="18">
        <v>516</v>
      </c>
      <c r="L11" s="1" t="s">
        <v>25</v>
      </c>
      <c r="M11" s="33">
        <v>43972</v>
      </c>
      <c r="P11" s="30" t="s">
        <v>8</v>
      </c>
      <c r="Q11" s="1" t="s">
        <v>5</v>
      </c>
    </row>
    <row r="12" spans="2:17" x14ac:dyDescent="0.3">
      <c r="B12" s="18">
        <v>1720</v>
      </c>
      <c r="C12" s="1" t="s">
        <v>28</v>
      </c>
      <c r="G12" s="30" t="s">
        <v>11</v>
      </c>
      <c r="H12" s="1" t="s">
        <v>5</v>
      </c>
      <c r="I12" s="2">
        <v>2000</v>
      </c>
      <c r="J12" s="2">
        <v>280</v>
      </c>
      <c r="K12" s="18">
        <v>1720</v>
      </c>
      <c r="L12" s="1" t="s">
        <v>28</v>
      </c>
      <c r="M12" s="33">
        <v>43973</v>
      </c>
      <c r="P12" s="30" t="s">
        <v>11</v>
      </c>
      <c r="Q12" s="1" t="s">
        <v>5</v>
      </c>
    </row>
    <row r="13" spans="2:17" x14ac:dyDescent="0.3">
      <c r="B13" s="18">
        <v>5160</v>
      </c>
      <c r="C13" s="1" t="s">
        <v>30</v>
      </c>
      <c r="G13" s="30" t="s">
        <v>13</v>
      </c>
      <c r="H13" s="1" t="s">
        <v>5</v>
      </c>
      <c r="I13" s="2">
        <v>6000</v>
      </c>
      <c r="J13" s="2">
        <v>840.00000000000011</v>
      </c>
      <c r="K13" s="18">
        <v>5160</v>
      </c>
      <c r="L13" s="1" t="s">
        <v>30</v>
      </c>
      <c r="M13" s="33">
        <v>43974</v>
      </c>
      <c r="P13" s="30" t="s">
        <v>13</v>
      </c>
      <c r="Q13" s="1" t="s">
        <v>5</v>
      </c>
    </row>
    <row r="14" spans="2:17" x14ac:dyDescent="0.3">
      <c r="B14" s="18">
        <v>6020</v>
      </c>
      <c r="C14" s="1" t="s">
        <v>31</v>
      </c>
      <c r="G14" s="30" t="s">
        <v>14</v>
      </c>
      <c r="H14" s="1" t="s">
        <v>5</v>
      </c>
      <c r="I14" s="2">
        <v>7000</v>
      </c>
      <c r="J14" s="2">
        <v>980.00000000000011</v>
      </c>
      <c r="K14" s="18">
        <v>6020</v>
      </c>
      <c r="L14" s="1" t="s">
        <v>31</v>
      </c>
      <c r="M14" s="33">
        <v>43975</v>
      </c>
      <c r="P14" s="30" t="s">
        <v>14</v>
      </c>
      <c r="Q14" s="1" t="s">
        <v>5</v>
      </c>
    </row>
    <row r="15" spans="2:17" x14ac:dyDescent="0.3">
      <c r="B15" s="18">
        <v>1290</v>
      </c>
      <c r="C15" s="1" t="s">
        <v>32</v>
      </c>
      <c r="G15" s="31" t="s">
        <v>15</v>
      </c>
      <c r="H15" s="11" t="s">
        <v>5</v>
      </c>
      <c r="I15" s="12">
        <v>1500</v>
      </c>
      <c r="J15" s="12">
        <v>210.00000000000003</v>
      </c>
      <c r="K15" s="18">
        <v>1290</v>
      </c>
      <c r="L15" s="1" t="s">
        <v>32</v>
      </c>
      <c r="M15" s="33">
        <v>43976</v>
      </c>
      <c r="P15" s="31" t="s">
        <v>15</v>
      </c>
      <c r="Q15" s="11" t="s">
        <v>5</v>
      </c>
    </row>
    <row r="16" spans="2:17" x14ac:dyDescent="0.3">
      <c r="B16" s="18">
        <v>-1978</v>
      </c>
      <c r="C16" s="7" t="s">
        <v>25</v>
      </c>
      <c r="G16" s="32" t="s">
        <v>8</v>
      </c>
      <c r="H16" s="7" t="s">
        <v>5</v>
      </c>
      <c r="I16" s="8">
        <v>2300</v>
      </c>
      <c r="J16" s="8">
        <v>322.00000000000006</v>
      </c>
      <c r="K16" s="18">
        <v>-1978</v>
      </c>
      <c r="L16" s="7" t="s">
        <v>25</v>
      </c>
      <c r="M16" s="33">
        <v>43990</v>
      </c>
      <c r="P16" s="32" t="s">
        <v>8</v>
      </c>
      <c r="Q16" s="7" t="s">
        <v>5</v>
      </c>
    </row>
    <row r="17" spans="2:17" x14ac:dyDescent="0.3">
      <c r="B17" s="42">
        <v>-2064</v>
      </c>
      <c r="C17" s="40" t="s">
        <v>40</v>
      </c>
      <c r="G17" s="39" t="s">
        <v>22</v>
      </c>
      <c r="H17" s="40" t="s">
        <v>5</v>
      </c>
      <c r="I17" s="41">
        <v>2400</v>
      </c>
      <c r="J17" s="41">
        <v>336.00000000000006</v>
      </c>
      <c r="K17" s="42">
        <v>-2064</v>
      </c>
      <c r="L17" s="40" t="s">
        <v>40</v>
      </c>
      <c r="M17" s="43">
        <v>43991</v>
      </c>
      <c r="P17" s="39" t="s">
        <v>22</v>
      </c>
      <c r="Q17" s="40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83218-DE9B-4833-9416-06D3F8F28CE5}">
  <dimension ref="B5:C16"/>
  <sheetViews>
    <sheetView rightToLeft="1" workbookViewId="0">
      <selection activeCell="B6" sqref="B6"/>
    </sheetView>
  </sheetViews>
  <sheetFormatPr defaultRowHeight="14.4" x14ac:dyDescent="0.3"/>
  <cols>
    <col min="2" max="2" width="10.6640625" bestFit="1" customWidth="1"/>
    <col min="3" max="3" width="13.5546875" bestFit="1" customWidth="1"/>
  </cols>
  <sheetData>
    <row r="5" spans="2:3" x14ac:dyDescent="0.3">
      <c r="B5" s="17" t="s">
        <v>0</v>
      </c>
      <c r="C5" s="17" t="s">
        <v>2</v>
      </c>
    </row>
    <row r="6" spans="2:3" x14ac:dyDescent="0.3">
      <c r="B6" s="15" t="s">
        <v>7</v>
      </c>
      <c r="C6" s="1" t="s">
        <v>6</v>
      </c>
    </row>
    <row r="7" spans="2:3" x14ac:dyDescent="0.3">
      <c r="B7" s="16" t="s">
        <v>8</v>
      </c>
      <c r="C7" s="1" t="s">
        <v>25</v>
      </c>
    </row>
    <row r="8" spans="2:3" x14ac:dyDescent="0.3">
      <c r="B8" s="1" t="s">
        <v>9</v>
      </c>
      <c r="C8" s="1" t="s">
        <v>26</v>
      </c>
    </row>
    <row r="9" spans="2:3" x14ac:dyDescent="0.3">
      <c r="B9" s="1" t="s">
        <v>10</v>
      </c>
      <c r="C9" s="1" t="s">
        <v>27</v>
      </c>
    </row>
    <row r="10" spans="2:3" x14ac:dyDescent="0.3">
      <c r="B10" s="1" t="s">
        <v>11</v>
      </c>
      <c r="C10" s="1" t="s">
        <v>28</v>
      </c>
    </row>
    <row r="11" spans="2:3" x14ac:dyDescent="0.3">
      <c r="B11" s="1" t="s">
        <v>12</v>
      </c>
      <c r="C11" s="1" t="s">
        <v>29</v>
      </c>
    </row>
    <row r="12" spans="2:3" x14ac:dyDescent="0.3">
      <c r="B12" s="1" t="s">
        <v>13</v>
      </c>
      <c r="C12" s="1" t="s">
        <v>30</v>
      </c>
    </row>
    <row r="13" spans="2:3" x14ac:dyDescent="0.3">
      <c r="B13" s="1" t="s">
        <v>14</v>
      </c>
      <c r="C13" s="1" t="s">
        <v>31</v>
      </c>
    </row>
    <row r="14" spans="2:3" x14ac:dyDescent="0.3">
      <c r="B14" s="1" t="s">
        <v>15</v>
      </c>
      <c r="C14" s="1" t="s">
        <v>32</v>
      </c>
    </row>
    <row r="15" spans="2:3" x14ac:dyDescent="0.3">
      <c r="B15" s="1" t="s">
        <v>16</v>
      </c>
      <c r="C15" s="1" t="s">
        <v>33</v>
      </c>
    </row>
    <row r="16" spans="2:3" x14ac:dyDescent="0.3">
      <c r="B16" s="1" t="s">
        <v>17</v>
      </c>
      <c r="C16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Sheet1</vt:lpstr>
      <vt:lpstr>pivot table</vt:lpstr>
      <vt:lpstr>Sayfa1</vt:lpstr>
      <vt:lpstr>Advanced Filter</vt:lpstr>
      <vt:lpstr>database</vt:lpstr>
      <vt:lpstr>'Advanced Filter'!Extract</vt:lpstr>
      <vt:lpstr>Sayfa1!Extract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almanjawik</dc:creator>
  <cp:lastModifiedBy>77300</cp:lastModifiedBy>
  <dcterms:created xsi:type="dcterms:W3CDTF">2026-01-08T01:02:55Z</dcterms:created>
  <dcterms:modified xsi:type="dcterms:W3CDTF">2026-02-01T20:43:28Z</dcterms:modified>
</cp:coreProperties>
</file>